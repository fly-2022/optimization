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ona\Downloads\"/>
    </mc:Choice>
  </mc:AlternateContent>
  <xr:revisionPtr revIDLastSave="0" documentId="13_ncr:1_{668D8975-258B-4A82-8EEA-DA701A65780A}" xr6:coauthVersionLast="47" xr6:coauthVersionMax="47" xr10:uidLastSave="{00000000-0000-0000-0000-000000000000}"/>
  <bookViews>
    <workbookView xWindow="-120" yWindow="-120" windowWidth="29040" windowHeight="15720" activeTab="1" xr2:uid="{4C96D902-8C59-4966-B0F7-AE5ADA9D8A6E}"/>
  </bookViews>
  <sheets>
    <sheet name="List" sheetId="4" r:id="rId1"/>
    <sheet name="Roster" sheetId="2" r:id="rId2"/>
    <sheet name="Roster-close 0030,full 0600" sheetId="14" r:id="rId3"/>
    <sheet name="Roster-close 0100,full 0600" sheetId="19" r:id="rId4"/>
    <sheet name="Roster-close 0100,full 0630" sheetId="17" r:id="rId5"/>
    <sheet name="Roster-close 0100,full 0700 " sheetId="21" r:id="rId6"/>
    <sheet name="Roster-close 0100,full 0700 SOS" sheetId="22" r:id="rId7"/>
    <sheet name="Roster-original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8" l="1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AM22" i="18"/>
  <c r="AN22" i="18"/>
  <c r="AO22" i="18"/>
  <c r="AP22" i="18"/>
  <c r="AQ22" i="18"/>
  <c r="AR22" i="18"/>
  <c r="AS22" i="18"/>
  <c r="AT22" i="18"/>
  <c r="AU22" i="18"/>
  <c r="AV22" i="18"/>
  <c r="AW22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V21" i="18"/>
  <c r="AW21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AT20" i="18"/>
  <c r="AU20" i="18"/>
  <c r="AV20" i="18"/>
  <c r="AW20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B20" i="18"/>
  <c r="B19" i="18"/>
  <c r="B10" i="18"/>
  <c r="B9" i="18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A22" i="22"/>
  <c r="AB22" i="22"/>
  <c r="AC22" i="22"/>
  <c r="AD22" i="22"/>
  <c r="AE22" i="22"/>
  <c r="AF22" i="22"/>
  <c r="AG22" i="22"/>
  <c r="AH22" i="22"/>
  <c r="AI22" i="22"/>
  <c r="AJ22" i="22"/>
  <c r="AK22" i="22"/>
  <c r="AL22" i="22"/>
  <c r="AM22" i="22"/>
  <c r="AN22" i="22"/>
  <c r="AO22" i="22"/>
  <c r="AP22" i="22"/>
  <c r="AQ22" i="22"/>
  <c r="AR22" i="22"/>
  <c r="AS22" i="22"/>
  <c r="AT22" i="22"/>
  <c r="AU22" i="22"/>
  <c r="AV22" i="22"/>
  <c r="AW22" i="22"/>
  <c r="C22" i="22"/>
  <c r="C21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AA21" i="22"/>
  <c r="AB21" i="22"/>
  <c r="AC21" i="22"/>
  <c r="AD21" i="22"/>
  <c r="AE21" i="22"/>
  <c r="AF21" i="22"/>
  <c r="AG21" i="22"/>
  <c r="AH21" i="22"/>
  <c r="AI21" i="22"/>
  <c r="AJ21" i="22"/>
  <c r="AK21" i="22"/>
  <c r="AL21" i="22"/>
  <c r="AM21" i="22"/>
  <c r="AN21" i="22"/>
  <c r="AO21" i="22"/>
  <c r="AP21" i="22"/>
  <c r="AQ21" i="22"/>
  <c r="AR21" i="22"/>
  <c r="AS21" i="22"/>
  <c r="AT21" i="22"/>
  <c r="AU21" i="22"/>
  <c r="AV21" i="22"/>
  <c r="AW21" i="22"/>
  <c r="C20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S20" i="22"/>
  <c r="AT20" i="22"/>
  <c r="AU20" i="22"/>
  <c r="AV20" i="22"/>
  <c r="AW20" i="22"/>
  <c r="C19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AA19" i="22"/>
  <c r="AB19" i="22"/>
  <c r="AC19" i="22"/>
  <c r="AD19" i="22"/>
  <c r="AE19" i="22"/>
  <c r="AF19" i="22"/>
  <c r="AG19" i="22"/>
  <c r="AH19" i="22"/>
  <c r="AI19" i="22"/>
  <c r="AJ19" i="22"/>
  <c r="AK19" i="22"/>
  <c r="AL19" i="22"/>
  <c r="AM19" i="22"/>
  <c r="AN19" i="22"/>
  <c r="AO19" i="22"/>
  <c r="AP19" i="22"/>
  <c r="AQ19" i="22"/>
  <c r="AR19" i="22"/>
  <c r="AS19" i="22"/>
  <c r="AT19" i="22"/>
  <c r="AU19" i="22"/>
  <c r="AV19" i="22"/>
  <c r="AW19" i="22"/>
  <c r="C11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AA11" i="22"/>
  <c r="AB11" i="22"/>
  <c r="AC11" i="22"/>
  <c r="AD11" i="22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V11" i="22"/>
  <c r="AW11" i="22"/>
  <c r="C10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V10" i="22"/>
  <c r="AW10" i="22"/>
  <c r="C9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B20" i="22"/>
  <c r="B19" i="22"/>
  <c r="B10" i="22"/>
  <c r="B9" i="22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K22" i="21"/>
  <c r="AL22" i="21"/>
  <c r="AM22" i="21"/>
  <c r="AN22" i="21"/>
  <c r="AO22" i="21"/>
  <c r="AP22" i="21"/>
  <c r="AQ22" i="21"/>
  <c r="AR22" i="21"/>
  <c r="AS22" i="21"/>
  <c r="AT22" i="21"/>
  <c r="AU22" i="21"/>
  <c r="AV22" i="21"/>
  <c r="AW22" i="21"/>
  <c r="C22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K21" i="21"/>
  <c r="AL21" i="21"/>
  <c r="AM21" i="21"/>
  <c r="AN21" i="21"/>
  <c r="AO21" i="21"/>
  <c r="AP21" i="21"/>
  <c r="AQ21" i="21"/>
  <c r="AR21" i="21"/>
  <c r="AS21" i="21"/>
  <c r="AT21" i="21"/>
  <c r="AU21" i="21"/>
  <c r="AV21" i="21"/>
  <c r="AW21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K20" i="21"/>
  <c r="AL20" i="21"/>
  <c r="AM20" i="21"/>
  <c r="AN20" i="21"/>
  <c r="AO20" i="21"/>
  <c r="AP20" i="21"/>
  <c r="AQ20" i="21"/>
  <c r="AR20" i="21"/>
  <c r="AS20" i="21"/>
  <c r="AT20" i="21"/>
  <c r="AU20" i="21"/>
  <c r="AV20" i="21"/>
  <c r="AW20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K19" i="21"/>
  <c r="AL19" i="21"/>
  <c r="AM19" i="21"/>
  <c r="AN19" i="21"/>
  <c r="AO19" i="21"/>
  <c r="AP19" i="21"/>
  <c r="AQ19" i="21"/>
  <c r="AR19" i="21"/>
  <c r="AS19" i="21"/>
  <c r="AT19" i="21"/>
  <c r="AU19" i="21"/>
  <c r="AV19" i="21"/>
  <c r="AW19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K11" i="21"/>
  <c r="AL11" i="21"/>
  <c r="AM11" i="21"/>
  <c r="AN11" i="21"/>
  <c r="AO11" i="21"/>
  <c r="AP11" i="21"/>
  <c r="AQ11" i="21"/>
  <c r="AR11" i="21"/>
  <c r="AS11" i="21"/>
  <c r="AT11" i="21"/>
  <c r="AU11" i="21"/>
  <c r="AV11" i="21"/>
  <c r="AW11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AT10" i="21"/>
  <c r="AU10" i="21"/>
  <c r="AV10" i="21"/>
  <c r="AW10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B20" i="21"/>
  <c r="B19" i="21"/>
  <c r="B10" i="21"/>
  <c r="B9" i="21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C22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B20" i="17"/>
  <c r="B19" i="17"/>
  <c r="B10" i="17"/>
  <c r="AW9" i="17"/>
  <c r="B9" i="17"/>
  <c r="AW20" i="19"/>
  <c r="AW22" i="19" s="1"/>
  <c r="AV20" i="19"/>
  <c r="AV22" i="19" s="1"/>
  <c r="AU20" i="19"/>
  <c r="AU22" i="19" s="1"/>
  <c r="AT20" i="19"/>
  <c r="AT22" i="19" s="1"/>
  <c r="AS20" i="19"/>
  <c r="AS22" i="19" s="1"/>
  <c r="AR20" i="19"/>
  <c r="AR22" i="19" s="1"/>
  <c r="AQ20" i="19"/>
  <c r="AQ21" i="19" s="1"/>
  <c r="AP20" i="19"/>
  <c r="AP22" i="19" s="1"/>
  <c r="AO20" i="19"/>
  <c r="AO22" i="19" s="1"/>
  <c r="AN20" i="19"/>
  <c r="AN22" i="19" s="1"/>
  <c r="AM20" i="19"/>
  <c r="AM22" i="19" s="1"/>
  <c r="AL20" i="19"/>
  <c r="AL22" i="19" s="1"/>
  <c r="AK20" i="19"/>
  <c r="AK22" i="19" s="1"/>
  <c r="AJ20" i="19"/>
  <c r="AJ22" i="19" s="1"/>
  <c r="AI20" i="19"/>
  <c r="AI22" i="19" s="1"/>
  <c r="AH20" i="19"/>
  <c r="AH22" i="19" s="1"/>
  <c r="AG20" i="19"/>
  <c r="AG22" i="19" s="1"/>
  <c r="AF20" i="19"/>
  <c r="AF22" i="19" s="1"/>
  <c r="AE20" i="19"/>
  <c r="AE22" i="19" s="1"/>
  <c r="AD20" i="19"/>
  <c r="AD22" i="19" s="1"/>
  <c r="AC20" i="19"/>
  <c r="AC22" i="19" s="1"/>
  <c r="AB20" i="19"/>
  <c r="AB22" i="19" s="1"/>
  <c r="AA20" i="19"/>
  <c r="AA22" i="19" s="1"/>
  <c r="Z20" i="19"/>
  <c r="Z22" i="19" s="1"/>
  <c r="Y20" i="19"/>
  <c r="Y22" i="19" s="1"/>
  <c r="X20" i="19"/>
  <c r="X22" i="19" s="1"/>
  <c r="W20" i="19"/>
  <c r="W22" i="19" s="1"/>
  <c r="V20" i="19"/>
  <c r="V22" i="19" s="1"/>
  <c r="U20" i="19"/>
  <c r="U22" i="19" s="1"/>
  <c r="T20" i="19"/>
  <c r="T22" i="19" s="1"/>
  <c r="S20" i="19"/>
  <c r="S21" i="19" s="1"/>
  <c r="R20" i="19"/>
  <c r="R22" i="19" s="1"/>
  <c r="Q20" i="19"/>
  <c r="Q22" i="19" s="1"/>
  <c r="P20" i="19"/>
  <c r="P22" i="19" s="1"/>
  <c r="O20" i="19"/>
  <c r="O22" i="19" s="1"/>
  <c r="N20" i="19"/>
  <c r="N22" i="19" s="1"/>
  <c r="M20" i="19"/>
  <c r="M22" i="19" s="1"/>
  <c r="L20" i="19"/>
  <c r="L22" i="19" s="1"/>
  <c r="K20" i="19"/>
  <c r="K21" i="19" s="1"/>
  <c r="J20" i="19"/>
  <c r="J22" i="19" s="1"/>
  <c r="I20" i="19"/>
  <c r="I22" i="19" s="1"/>
  <c r="H20" i="19"/>
  <c r="H22" i="19" s="1"/>
  <c r="G20" i="19"/>
  <c r="G22" i="19" s="1"/>
  <c r="F20" i="19"/>
  <c r="F22" i="19" s="1"/>
  <c r="E20" i="19"/>
  <c r="E22" i="19" s="1"/>
  <c r="D20" i="19"/>
  <c r="D22" i="19" s="1"/>
  <c r="C20" i="19"/>
  <c r="C21" i="19" s="1"/>
  <c r="B20" i="19"/>
  <c r="B22" i="19" s="1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S22" i="19" s="1"/>
  <c r="R19" i="19"/>
  <c r="Q19" i="19"/>
  <c r="P19" i="19"/>
  <c r="O19" i="19"/>
  <c r="N19" i="19"/>
  <c r="M19" i="19"/>
  <c r="L19" i="19"/>
  <c r="K19" i="19"/>
  <c r="K22" i="19" s="1"/>
  <c r="J19" i="19"/>
  <c r="I19" i="19"/>
  <c r="H19" i="19"/>
  <c r="G19" i="19"/>
  <c r="F19" i="19"/>
  <c r="E19" i="19"/>
  <c r="D19" i="19"/>
  <c r="C19" i="19"/>
  <c r="C22" i="19" s="1"/>
  <c r="B19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B10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B9" i="19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B20" i="14"/>
  <c r="B19" i="14"/>
  <c r="B10" i="14"/>
  <c r="B9" i="14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B20" i="2"/>
  <c r="B19" i="2"/>
  <c r="B10" i="2"/>
  <c r="B9" i="2"/>
  <c r="B21" i="19" l="1"/>
  <c r="J21" i="19"/>
  <c r="R21" i="19"/>
  <c r="Z21" i="19"/>
  <c r="AH21" i="19"/>
  <c r="AP21" i="19"/>
  <c r="AA21" i="19"/>
  <c r="AI21" i="19"/>
  <c r="AQ22" i="19"/>
  <c r="D21" i="19"/>
  <c r="L21" i="19"/>
  <c r="T21" i="19"/>
  <c r="AB21" i="19"/>
  <c r="AJ21" i="19"/>
  <c r="AR21" i="19"/>
  <c r="E21" i="19"/>
  <c r="M21" i="19"/>
  <c r="U21" i="19"/>
  <c r="AC21" i="19"/>
  <c r="AK21" i="19"/>
  <c r="AS21" i="19"/>
  <c r="F21" i="19"/>
  <c r="N21" i="19"/>
  <c r="V21" i="19"/>
  <c r="AD21" i="19"/>
  <c r="AL21" i="19"/>
  <c r="AT21" i="19"/>
  <c r="G21" i="19"/>
  <c r="O21" i="19"/>
  <c r="W21" i="19"/>
  <c r="AE21" i="19"/>
  <c r="AM21" i="19"/>
  <c r="AU21" i="19"/>
  <c r="H21" i="19"/>
  <c r="P21" i="19"/>
  <c r="X21" i="19"/>
  <c r="AF21" i="19"/>
  <c r="AN21" i="19"/>
  <c r="AV21" i="19"/>
  <c r="I21" i="19"/>
  <c r="Q21" i="19"/>
  <c r="Y21" i="19"/>
  <c r="AG21" i="19"/>
  <c r="AO21" i="19"/>
  <c r="AW21" i="19"/>
  <c r="AX8" i="22" l="1"/>
  <c r="AX7" i="22"/>
  <c r="AX6" i="22"/>
  <c r="AX5" i="22"/>
  <c r="AX4" i="22"/>
  <c r="AX3" i="22"/>
  <c r="AX8" i="21"/>
  <c r="AX7" i="21"/>
  <c r="AX6" i="21"/>
  <c r="AX5" i="21"/>
  <c r="AX4" i="21"/>
  <c r="AX3" i="21"/>
  <c r="AX8" i="19"/>
  <c r="AX7" i="19"/>
  <c r="AX6" i="19"/>
  <c r="AX5" i="19"/>
  <c r="AX4" i="19"/>
  <c r="AX3" i="19"/>
  <c r="AX8" i="17"/>
  <c r="AX7" i="17"/>
  <c r="AX6" i="17"/>
  <c r="AX5" i="17"/>
  <c r="AX4" i="17"/>
  <c r="AX3" i="17"/>
  <c r="AX8" i="14"/>
  <c r="AX7" i="14"/>
  <c r="AX6" i="14"/>
  <c r="AX5" i="14"/>
  <c r="AX4" i="14"/>
  <c r="AX3" i="14"/>
  <c r="B11" i="18" l="1"/>
  <c r="B11" i="22"/>
  <c r="B21" i="22"/>
  <c r="B11" i="21"/>
  <c r="B21" i="21"/>
  <c r="B11" i="19"/>
  <c r="B21" i="2"/>
  <c r="B22" i="22"/>
  <c r="B22" i="21"/>
  <c r="B21" i="18"/>
  <c r="C22" i="18"/>
  <c r="B22" i="18"/>
  <c r="B21" i="17"/>
  <c r="B11" i="17"/>
  <c r="B22" i="17"/>
  <c r="B11" i="14"/>
  <c r="B21" i="14"/>
  <c r="B22" i="14"/>
  <c r="B11" i="2"/>
  <c r="B22" i="2"/>
</calcChain>
</file>

<file path=xl/sharedStrings.xml><?xml version="1.0" encoding="utf-8"?>
<sst xmlns="http://schemas.openxmlformats.org/spreadsheetml/2006/main" count="2321" uniqueCount="41">
  <si>
    <t>Night</t>
  </si>
  <si>
    <t>Sub-total</t>
  </si>
  <si>
    <t>#</t>
  </si>
  <si>
    <t>Cover Breaks</t>
  </si>
  <si>
    <t>Checker</t>
  </si>
  <si>
    <t>DLSC</t>
  </si>
  <si>
    <t>Lorry/Car-go</t>
  </si>
  <si>
    <t>Cargo</t>
  </si>
  <si>
    <t>Officer A</t>
  </si>
  <si>
    <t>A</t>
  </si>
  <si>
    <t>Officer B</t>
  </si>
  <si>
    <t>B</t>
  </si>
  <si>
    <t>Officer C</t>
  </si>
  <si>
    <t>C</t>
  </si>
  <si>
    <t>Officer D</t>
  </si>
  <si>
    <t>D</t>
  </si>
  <si>
    <t>Officer E</t>
  </si>
  <si>
    <t>E</t>
  </si>
  <si>
    <t>Officer F</t>
  </si>
  <si>
    <t>F</t>
  </si>
  <si>
    <t>apple</t>
  </si>
  <si>
    <t>bear</t>
  </si>
  <si>
    <t>Big</t>
  </si>
  <si>
    <t>Small</t>
  </si>
  <si>
    <t>Grand-total</t>
  </si>
  <si>
    <t>Selection List</t>
  </si>
  <si>
    <t>AC</t>
  </si>
  <si>
    <t>DC</t>
  </si>
  <si>
    <t>AL1</t>
  </si>
  <si>
    <t>AL2</t>
  </si>
  <si>
    <t>AL3</t>
  </si>
  <si>
    <t>AL4</t>
  </si>
  <si>
    <t>AL5</t>
  </si>
  <si>
    <t>AL6</t>
  </si>
  <si>
    <t>Acar1</t>
  </si>
  <si>
    <t>Acar2</t>
  </si>
  <si>
    <t>Acar3</t>
  </si>
  <si>
    <t>Acar4</t>
  </si>
  <si>
    <t>Acar5</t>
  </si>
  <si>
    <t>Acar6</t>
  </si>
  <si>
    <t>ALSC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</si>
</sst>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20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0" borderId="5" xfId="0" applyBorder="1"/>
    <xf numFmtId="0" fontId="0" fillId="0" borderId="14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0" fontId="1" fillId="0" borderId="9" xfId="0" applyNumberFormat="1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20" fontId="1" fillId="0" borderId="11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403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9F8E-2F05-4A99-B05C-46FD24B718E1}">
  <dimension ref="A1:F16"/>
  <sheetViews>
    <sheetView workbookViewId="0">
      <selection activeCell="J20" sqref="J20"/>
    </sheetView>
  </sheetViews>
  <sheetFormatPr defaultRowHeight="15" x14ac:dyDescent="0.25"/>
  <sheetData>
    <row r="1" spans="1:6" x14ac:dyDescent="0.25">
      <c r="A1" s="20" t="s">
        <v>7</v>
      </c>
      <c r="F1" s="20" t="s">
        <v>25</v>
      </c>
    </row>
    <row r="2" spans="1:6" x14ac:dyDescent="0.25">
      <c r="A2" t="s">
        <v>8</v>
      </c>
      <c r="B2" t="s">
        <v>9</v>
      </c>
      <c r="F2" t="s">
        <v>28</v>
      </c>
    </row>
    <row r="3" spans="1:6" x14ac:dyDescent="0.25">
      <c r="A3" t="s">
        <v>10</v>
      </c>
      <c r="B3" t="s">
        <v>11</v>
      </c>
      <c r="F3" t="s">
        <v>29</v>
      </c>
    </row>
    <row r="4" spans="1:6" x14ac:dyDescent="0.25">
      <c r="A4" t="s">
        <v>12</v>
      </c>
      <c r="B4" t="s">
        <v>13</v>
      </c>
      <c r="F4" t="s">
        <v>30</v>
      </c>
    </row>
    <row r="5" spans="1:6" x14ac:dyDescent="0.25">
      <c r="A5" t="s">
        <v>14</v>
      </c>
      <c r="B5" t="s">
        <v>15</v>
      </c>
      <c r="F5" t="s">
        <v>31</v>
      </c>
    </row>
    <row r="6" spans="1:6" x14ac:dyDescent="0.25">
      <c r="A6" t="s">
        <v>16</v>
      </c>
      <c r="B6" t="s">
        <v>17</v>
      </c>
      <c r="F6" t="s">
        <v>32</v>
      </c>
    </row>
    <row r="7" spans="1:6" x14ac:dyDescent="0.25">
      <c r="A7" t="s">
        <v>18</v>
      </c>
      <c r="B7" t="s">
        <v>19</v>
      </c>
      <c r="F7" t="s">
        <v>33</v>
      </c>
    </row>
    <row r="8" spans="1:6" x14ac:dyDescent="0.25">
      <c r="F8" t="s">
        <v>34</v>
      </c>
    </row>
    <row r="9" spans="1:6" x14ac:dyDescent="0.25">
      <c r="A9" t="s">
        <v>4</v>
      </c>
      <c r="B9" t="s">
        <v>20</v>
      </c>
      <c r="F9" t="s">
        <v>35</v>
      </c>
    </row>
    <row r="10" spans="1:6" x14ac:dyDescent="0.25">
      <c r="A10" t="s">
        <v>5</v>
      </c>
      <c r="B10" t="s">
        <v>21</v>
      </c>
      <c r="F10" t="s">
        <v>36</v>
      </c>
    </row>
    <row r="11" spans="1:6" x14ac:dyDescent="0.25">
      <c r="F11" t="s">
        <v>37</v>
      </c>
    </row>
    <row r="12" spans="1:6" x14ac:dyDescent="0.25">
      <c r="F12" t="s">
        <v>38</v>
      </c>
    </row>
    <row r="13" spans="1:6" x14ac:dyDescent="0.25">
      <c r="F13" t="s">
        <v>39</v>
      </c>
    </row>
    <row r="14" spans="1:6" x14ac:dyDescent="0.25">
      <c r="F14" t="s">
        <v>2</v>
      </c>
    </row>
    <row r="15" spans="1:6" x14ac:dyDescent="0.25">
      <c r="F15" t="s">
        <v>26</v>
      </c>
    </row>
    <row r="16" spans="1:6" x14ac:dyDescent="0.25">
      <c r="F1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8733-0602-4B40-9B1F-57C032D14F36}">
  <sheetPr>
    <pageSetUpPr fitToPage="1"/>
  </sheetPr>
  <dimension ref="A1:AW22"/>
  <sheetViews>
    <sheetView tabSelected="1" zoomScale="80" zoomScaleNormal="80" workbookViewId="0">
      <selection activeCell="K13" sqref="K13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49" ht="15.75" thickBot="1" x14ac:dyDescent="0.3">
      <c r="A1" s="35" t="s">
        <v>0</v>
      </c>
      <c r="B1" s="41">
        <v>0.91666666666666663</v>
      </c>
      <c r="C1" s="42">
        <v>0.92708333333333337</v>
      </c>
      <c r="D1" s="42">
        <v>0.9375</v>
      </c>
      <c r="E1" s="43">
        <v>0.94791666666666663</v>
      </c>
      <c r="F1" s="41">
        <v>0.95833333333333404</v>
      </c>
      <c r="G1" s="42">
        <v>0.96875</v>
      </c>
      <c r="H1" s="42">
        <v>0.97916666666666696</v>
      </c>
      <c r="I1" s="43">
        <v>0.98958333333333404</v>
      </c>
      <c r="J1" s="41">
        <v>1</v>
      </c>
      <c r="K1" s="42">
        <v>1.0104166666666701</v>
      </c>
      <c r="L1" s="42">
        <v>1.0208333333333299</v>
      </c>
      <c r="M1" s="43">
        <v>1.03125</v>
      </c>
      <c r="N1" s="41">
        <v>1.0416666666666701</v>
      </c>
      <c r="O1" s="42">
        <v>1.0520833333333299</v>
      </c>
      <c r="P1" s="42">
        <v>1.0625</v>
      </c>
      <c r="Q1" s="43">
        <v>1.0729166666666701</v>
      </c>
      <c r="R1" s="41">
        <v>1.0833333333333299</v>
      </c>
      <c r="S1" s="42">
        <v>1.09375</v>
      </c>
      <c r="T1" s="42">
        <v>1.1041666666666701</v>
      </c>
      <c r="U1" s="43">
        <v>1.1145833333333299</v>
      </c>
      <c r="V1" s="41">
        <v>1.125</v>
      </c>
      <c r="W1" s="42">
        <v>1.1354166666666701</v>
      </c>
      <c r="X1" s="42">
        <v>1.1458333333333299</v>
      </c>
      <c r="Y1" s="43">
        <v>1.15625</v>
      </c>
      <c r="Z1" s="41">
        <v>1.1666666666666701</v>
      </c>
      <c r="AA1" s="42">
        <v>1.1770833333333399</v>
      </c>
      <c r="AB1" s="42">
        <v>1.1875</v>
      </c>
      <c r="AC1" s="43">
        <v>1.1979166666666701</v>
      </c>
      <c r="AD1" s="41">
        <v>1.2083333333333399</v>
      </c>
      <c r="AE1" s="42">
        <v>1.21875</v>
      </c>
      <c r="AF1" s="42">
        <v>1.2291666666666701</v>
      </c>
      <c r="AG1" s="43">
        <v>1.2395833333333399</v>
      </c>
      <c r="AH1" s="41">
        <v>1.25</v>
      </c>
      <c r="AI1" s="42">
        <v>1.2604166666666701</v>
      </c>
      <c r="AJ1" s="42">
        <v>1.2708333333333399</v>
      </c>
      <c r="AK1" s="43">
        <v>1.28125</v>
      </c>
      <c r="AL1" s="41">
        <v>1.2916666666666701</v>
      </c>
      <c r="AM1" s="42">
        <v>1.3020833333333399</v>
      </c>
      <c r="AN1" s="42">
        <v>1.3125</v>
      </c>
      <c r="AO1" s="43">
        <v>1.3229166666666701</v>
      </c>
      <c r="AP1" s="41">
        <v>1.3333333333333399</v>
      </c>
      <c r="AQ1" s="42">
        <v>1.34375</v>
      </c>
      <c r="AR1" s="42">
        <v>1.3541666666666701</v>
      </c>
      <c r="AS1" s="43">
        <v>1.3645833333333399</v>
      </c>
      <c r="AT1" s="41">
        <v>1.375</v>
      </c>
      <c r="AU1" s="42">
        <v>1.3854166666666701</v>
      </c>
      <c r="AV1" s="42">
        <v>1.3958333333333399</v>
      </c>
      <c r="AW1" s="43">
        <v>1.40625</v>
      </c>
    </row>
    <row r="2" spans="1:49" ht="15.75" thickBot="1" x14ac:dyDescent="0.3">
      <c r="A2" s="37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9"/>
    </row>
    <row r="3" spans="1:49" x14ac:dyDescent="0.25">
      <c r="A3" s="4" t="s">
        <v>28</v>
      </c>
      <c r="B3" s="11" t="s">
        <v>28</v>
      </c>
      <c r="C3" s="11" t="s">
        <v>28</v>
      </c>
      <c r="D3" s="11" t="s">
        <v>28</v>
      </c>
      <c r="E3" s="12" t="s">
        <v>28</v>
      </c>
      <c r="F3" s="10" t="s">
        <v>28</v>
      </c>
      <c r="G3" s="11" t="s">
        <v>2</v>
      </c>
      <c r="H3" s="11" t="s">
        <v>28</v>
      </c>
      <c r="I3" s="12" t="s">
        <v>28</v>
      </c>
      <c r="J3" s="10" t="s">
        <v>28</v>
      </c>
      <c r="K3" s="11" t="s">
        <v>28</v>
      </c>
      <c r="L3" s="11" t="s">
        <v>28</v>
      </c>
      <c r="M3" s="12" t="s">
        <v>28</v>
      </c>
      <c r="N3" s="10" t="s">
        <v>2</v>
      </c>
      <c r="O3" s="11" t="s">
        <v>2</v>
      </c>
      <c r="P3" s="11" t="s">
        <v>2</v>
      </c>
      <c r="Q3" s="12" t="s">
        <v>2</v>
      </c>
      <c r="R3" s="10" t="s">
        <v>2</v>
      </c>
      <c r="S3" s="11" t="s">
        <v>2</v>
      </c>
      <c r="T3" s="11" t="s">
        <v>2</v>
      </c>
      <c r="U3" s="12" t="s">
        <v>2</v>
      </c>
      <c r="V3" s="10" t="s">
        <v>2</v>
      </c>
      <c r="W3" s="11" t="s">
        <v>2</v>
      </c>
      <c r="X3" s="11" t="s">
        <v>28</v>
      </c>
      <c r="Y3" s="12" t="s">
        <v>28</v>
      </c>
      <c r="Z3" s="10" t="s">
        <v>28</v>
      </c>
      <c r="AA3" s="11" t="s">
        <v>28</v>
      </c>
      <c r="AB3" s="11" t="s">
        <v>28</v>
      </c>
      <c r="AC3" s="12" t="s">
        <v>28</v>
      </c>
      <c r="AD3" s="10" t="s">
        <v>28</v>
      </c>
      <c r="AE3" s="11" t="s">
        <v>28</v>
      </c>
      <c r="AF3" s="11" t="s">
        <v>28</v>
      </c>
      <c r="AG3" s="12" t="s">
        <v>28</v>
      </c>
      <c r="AH3" s="10" t="s">
        <v>2</v>
      </c>
      <c r="AI3" s="11" t="s">
        <v>2</v>
      </c>
      <c r="AJ3" s="11" t="s">
        <v>28</v>
      </c>
      <c r="AK3" s="12" t="s">
        <v>28</v>
      </c>
      <c r="AL3" s="10" t="s">
        <v>28</v>
      </c>
      <c r="AM3" s="11" t="s">
        <v>28</v>
      </c>
      <c r="AN3" s="11" t="s">
        <v>28</v>
      </c>
      <c r="AO3" s="12" t="s">
        <v>28</v>
      </c>
      <c r="AP3" s="10" t="s">
        <v>28</v>
      </c>
      <c r="AQ3" s="11" t="s">
        <v>28</v>
      </c>
      <c r="AR3" s="11" t="s">
        <v>2</v>
      </c>
      <c r="AS3" s="12" t="s">
        <v>2</v>
      </c>
      <c r="AT3" s="10" t="s">
        <v>28</v>
      </c>
      <c r="AU3" s="11" t="s">
        <v>28</v>
      </c>
      <c r="AV3" s="11" t="s">
        <v>28</v>
      </c>
      <c r="AW3" s="12" t="s">
        <v>28</v>
      </c>
    </row>
    <row r="4" spans="1:49" x14ac:dyDescent="0.25">
      <c r="A4" s="5" t="s">
        <v>29</v>
      </c>
      <c r="B4" s="44" t="s">
        <v>29</v>
      </c>
      <c r="C4" s="44" t="s">
        <v>29</v>
      </c>
      <c r="D4" s="44" t="s">
        <v>29</v>
      </c>
      <c r="E4" s="14" t="s">
        <v>29</v>
      </c>
      <c r="F4" s="13" t="s">
        <v>29</v>
      </c>
      <c r="G4" s="44" t="s">
        <v>29</v>
      </c>
      <c r="H4" s="44" t="s">
        <v>29</v>
      </c>
      <c r="I4" s="14" t="s">
        <v>29</v>
      </c>
      <c r="J4" s="13" t="s">
        <v>29</v>
      </c>
      <c r="K4" s="44" t="s">
        <v>2</v>
      </c>
      <c r="L4" s="44" t="s">
        <v>2</v>
      </c>
      <c r="M4" s="14" t="s">
        <v>2</v>
      </c>
      <c r="N4" s="13" t="s">
        <v>29</v>
      </c>
      <c r="O4" s="44" t="s">
        <v>29</v>
      </c>
      <c r="P4" s="44" t="s">
        <v>29</v>
      </c>
      <c r="Q4" s="14" t="s">
        <v>29</v>
      </c>
      <c r="R4" s="13" t="s">
        <v>29</v>
      </c>
      <c r="S4" s="44" t="s">
        <v>29</v>
      </c>
      <c r="T4" s="44" t="s">
        <v>29</v>
      </c>
      <c r="U4" s="14" t="s">
        <v>29</v>
      </c>
      <c r="V4" s="13" t="s">
        <v>29</v>
      </c>
      <c r="W4" s="44" t="s">
        <v>29</v>
      </c>
      <c r="X4" s="44" t="s">
        <v>2</v>
      </c>
      <c r="Y4" s="14" t="s">
        <v>2</v>
      </c>
      <c r="Z4" s="13" t="s">
        <v>2</v>
      </c>
      <c r="AA4" s="44" t="s">
        <v>2</v>
      </c>
      <c r="AB4" s="44" t="s">
        <v>2</v>
      </c>
      <c r="AC4" s="14" t="s">
        <v>2</v>
      </c>
      <c r="AD4" s="13" t="s">
        <v>2</v>
      </c>
      <c r="AE4" s="44" t="s">
        <v>2</v>
      </c>
      <c r="AF4" s="44" t="s">
        <v>2</v>
      </c>
      <c r="AG4" s="14" t="s">
        <v>2</v>
      </c>
      <c r="AH4" s="13" t="s">
        <v>29</v>
      </c>
      <c r="AI4" s="44" t="s">
        <v>29</v>
      </c>
      <c r="AJ4" s="44" t="s">
        <v>29</v>
      </c>
      <c r="AK4" s="14" t="s">
        <v>29</v>
      </c>
      <c r="AL4" s="13" t="s">
        <v>29</v>
      </c>
      <c r="AM4" s="44" t="s">
        <v>29</v>
      </c>
      <c r="AN4" s="44" t="s">
        <v>29</v>
      </c>
      <c r="AO4" s="14" t="s">
        <v>29</v>
      </c>
      <c r="AP4" s="13" t="s">
        <v>2</v>
      </c>
      <c r="AQ4" s="44" t="s">
        <v>2</v>
      </c>
      <c r="AR4" s="44" t="s">
        <v>29</v>
      </c>
      <c r="AS4" s="14" t="s">
        <v>29</v>
      </c>
      <c r="AT4" s="13" t="s">
        <v>29</v>
      </c>
      <c r="AU4" s="44" t="s">
        <v>29</v>
      </c>
      <c r="AV4" s="44" t="s">
        <v>29</v>
      </c>
      <c r="AW4" s="14" t="s">
        <v>29</v>
      </c>
    </row>
    <row r="5" spans="1:49" x14ac:dyDescent="0.25">
      <c r="A5" s="5" t="s">
        <v>30</v>
      </c>
      <c r="B5" s="44" t="s">
        <v>30</v>
      </c>
      <c r="C5" s="44" t="s">
        <v>30</v>
      </c>
      <c r="D5" s="44" t="s">
        <v>30</v>
      </c>
      <c r="E5" s="14" t="s">
        <v>30</v>
      </c>
      <c r="F5" s="13" t="s">
        <v>30</v>
      </c>
      <c r="G5" s="44" t="s">
        <v>30</v>
      </c>
      <c r="H5" s="44" t="s">
        <v>2</v>
      </c>
      <c r="I5" s="14" t="s">
        <v>30</v>
      </c>
      <c r="J5" s="13" t="s">
        <v>30</v>
      </c>
      <c r="K5" s="44" t="s">
        <v>30</v>
      </c>
      <c r="L5" s="44" t="s">
        <v>30</v>
      </c>
      <c r="M5" s="14" t="s">
        <v>30</v>
      </c>
      <c r="N5" s="13" t="s">
        <v>2</v>
      </c>
      <c r="O5" s="44" t="s">
        <v>2</v>
      </c>
      <c r="P5" s="44" t="s">
        <v>2</v>
      </c>
      <c r="Q5" s="14" t="s">
        <v>2</v>
      </c>
      <c r="R5" s="13" t="s">
        <v>2</v>
      </c>
      <c r="S5" s="44" t="s">
        <v>2</v>
      </c>
      <c r="T5" s="44" t="s">
        <v>2</v>
      </c>
      <c r="U5" s="14" t="s">
        <v>2</v>
      </c>
      <c r="V5" s="13" t="s">
        <v>2</v>
      </c>
      <c r="W5" s="44" t="s">
        <v>2</v>
      </c>
      <c r="X5" s="44" t="s">
        <v>30</v>
      </c>
      <c r="Y5" s="14" t="s">
        <v>30</v>
      </c>
      <c r="Z5" s="13" t="s">
        <v>30</v>
      </c>
      <c r="AA5" s="44" t="s">
        <v>30</v>
      </c>
      <c r="AB5" s="44" t="s">
        <v>30</v>
      </c>
      <c r="AC5" s="14" t="s">
        <v>30</v>
      </c>
      <c r="AD5" s="13" t="s">
        <v>30</v>
      </c>
      <c r="AE5" s="44" t="s">
        <v>30</v>
      </c>
      <c r="AF5" s="44" t="s">
        <v>2</v>
      </c>
      <c r="AG5" s="14" t="s">
        <v>2</v>
      </c>
      <c r="AH5" s="13" t="s">
        <v>33</v>
      </c>
      <c r="AI5" s="44" t="s">
        <v>33</v>
      </c>
      <c r="AJ5" s="44" t="s">
        <v>30</v>
      </c>
      <c r="AK5" s="14" t="s">
        <v>30</v>
      </c>
      <c r="AL5" s="13" t="s">
        <v>30</v>
      </c>
      <c r="AM5" s="44" t="s">
        <v>30</v>
      </c>
      <c r="AN5" s="44" t="s">
        <v>2</v>
      </c>
      <c r="AO5" s="14" t="s">
        <v>2</v>
      </c>
      <c r="AP5" s="13" t="s">
        <v>30</v>
      </c>
      <c r="AQ5" s="44" t="s">
        <v>30</v>
      </c>
      <c r="AR5" s="44" t="s">
        <v>30</v>
      </c>
      <c r="AS5" s="14" t="s">
        <v>30</v>
      </c>
      <c r="AT5" s="13" t="s">
        <v>30</v>
      </c>
      <c r="AU5" s="44" t="s">
        <v>30</v>
      </c>
      <c r="AV5" s="44" t="s">
        <v>30</v>
      </c>
      <c r="AW5" s="14" t="s">
        <v>30</v>
      </c>
    </row>
    <row r="6" spans="1:49" x14ac:dyDescent="0.25">
      <c r="A6" s="5" t="s">
        <v>31</v>
      </c>
      <c r="B6" s="44" t="s">
        <v>31</v>
      </c>
      <c r="C6" s="44" t="s">
        <v>31</v>
      </c>
      <c r="D6" s="44" t="s">
        <v>31</v>
      </c>
      <c r="E6" s="14" t="s">
        <v>31</v>
      </c>
      <c r="F6" s="13" t="s">
        <v>31</v>
      </c>
      <c r="G6" s="44" t="s">
        <v>31</v>
      </c>
      <c r="H6" s="44" t="s">
        <v>2</v>
      </c>
      <c r="I6" s="14" t="s">
        <v>31</v>
      </c>
      <c r="J6" s="13" t="s">
        <v>31</v>
      </c>
      <c r="K6" s="44" t="s">
        <v>31</v>
      </c>
      <c r="L6" s="44" t="s">
        <v>31</v>
      </c>
      <c r="M6" s="14" t="s">
        <v>31</v>
      </c>
      <c r="N6" s="13" t="s">
        <v>2</v>
      </c>
      <c r="O6" s="44" t="s">
        <v>2</v>
      </c>
      <c r="P6" s="44" t="s">
        <v>2</v>
      </c>
      <c r="Q6" s="14" t="s">
        <v>2</v>
      </c>
      <c r="R6" s="13" t="s">
        <v>2</v>
      </c>
      <c r="S6" s="44" t="s">
        <v>2</v>
      </c>
      <c r="T6" s="44" t="s">
        <v>2</v>
      </c>
      <c r="U6" s="14" t="s">
        <v>2</v>
      </c>
      <c r="V6" s="13" t="s">
        <v>2</v>
      </c>
      <c r="W6" s="44" t="s">
        <v>2</v>
      </c>
      <c r="X6" s="44" t="s">
        <v>31</v>
      </c>
      <c r="Y6" s="14" t="s">
        <v>31</v>
      </c>
      <c r="Z6" s="13" t="s">
        <v>31</v>
      </c>
      <c r="AA6" s="44" t="s">
        <v>31</v>
      </c>
      <c r="AB6" s="44" t="s">
        <v>31</v>
      </c>
      <c r="AC6" s="14" t="s">
        <v>31</v>
      </c>
      <c r="AD6" s="13" t="s">
        <v>31</v>
      </c>
      <c r="AE6" s="44" t="s">
        <v>31</v>
      </c>
      <c r="AF6" s="44" t="s">
        <v>2</v>
      </c>
      <c r="AG6" s="14" t="s">
        <v>2</v>
      </c>
      <c r="AH6" s="13" t="s">
        <v>31</v>
      </c>
      <c r="AI6" s="44" t="s">
        <v>31</v>
      </c>
      <c r="AJ6" s="44" t="s">
        <v>31</v>
      </c>
      <c r="AK6" s="14" t="s">
        <v>31</v>
      </c>
      <c r="AL6" s="13" t="s">
        <v>31</v>
      </c>
      <c r="AM6" s="44" t="s">
        <v>31</v>
      </c>
      <c r="AN6" s="44" t="s">
        <v>2</v>
      </c>
      <c r="AO6" s="14" t="s">
        <v>2</v>
      </c>
      <c r="AP6" s="13" t="s">
        <v>31</v>
      </c>
      <c r="AQ6" s="44" t="s">
        <v>31</v>
      </c>
      <c r="AR6" s="44" t="s">
        <v>31</v>
      </c>
      <c r="AS6" s="14" t="s">
        <v>31</v>
      </c>
      <c r="AT6" s="13" t="s">
        <v>31</v>
      </c>
      <c r="AU6" s="44" t="s">
        <v>31</v>
      </c>
      <c r="AV6" s="44" t="s">
        <v>31</v>
      </c>
      <c r="AW6" s="14" t="s">
        <v>31</v>
      </c>
    </row>
    <row r="7" spans="1:49" x14ac:dyDescent="0.25">
      <c r="A7" s="5" t="s">
        <v>32</v>
      </c>
      <c r="B7" s="44" t="s">
        <v>32</v>
      </c>
      <c r="C7" s="44" t="s">
        <v>32</v>
      </c>
      <c r="D7" s="44" t="s">
        <v>32</v>
      </c>
      <c r="E7" s="14" t="s">
        <v>32</v>
      </c>
      <c r="F7" s="13" t="s">
        <v>32</v>
      </c>
      <c r="G7" s="44" t="s">
        <v>32</v>
      </c>
      <c r="H7" s="44" t="s">
        <v>32</v>
      </c>
      <c r="I7" s="14" t="s">
        <v>2</v>
      </c>
      <c r="J7" s="13" t="s">
        <v>32</v>
      </c>
      <c r="K7" s="44" t="s">
        <v>32</v>
      </c>
      <c r="L7" s="44" t="s">
        <v>32</v>
      </c>
      <c r="M7" s="14" t="s">
        <v>32</v>
      </c>
      <c r="N7" s="13" t="s">
        <v>2</v>
      </c>
      <c r="O7" s="44" t="s">
        <v>2</v>
      </c>
      <c r="P7" s="44" t="s">
        <v>2</v>
      </c>
      <c r="Q7" s="14" t="s">
        <v>2</v>
      </c>
      <c r="R7" s="13" t="s">
        <v>2</v>
      </c>
      <c r="S7" s="44" t="s">
        <v>2</v>
      </c>
      <c r="T7" s="44" t="s">
        <v>2</v>
      </c>
      <c r="U7" s="14" t="s">
        <v>2</v>
      </c>
      <c r="V7" s="13" t="s">
        <v>2</v>
      </c>
      <c r="W7" s="44" t="s">
        <v>2</v>
      </c>
      <c r="X7" s="44" t="s">
        <v>29</v>
      </c>
      <c r="Y7" s="14" t="s">
        <v>29</v>
      </c>
      <c r="Z7" s="13" t="s">
        <v>29</v>
      </c>
      <c r="AA7" s="44" t="s">
        <v>29</v>
      </c>
      <c r="AB7" s="44" t="s">
        <v>29</v>
      </c>
      <c r="AC7" s="14" t="s">
        <v>29</v>
      </c>
      <c r="AD7" s="13" t="s">
        <v>29</v>
      </c>
      <c r="AE7" s="44" t="s">
        <v>29</v>
      </c>
      <c r="AF7" s="44" t="s">
        <v>29</v>
      </c>
      <c r="AG7" s="14" t="s">
        <v>29</v>
      </c>
      <c r="AH7" s="13" t="s">
        <v>2</v>
      </c>
      <c r="AI7" s="44" t="s">
        <v>2</v>
      </c>
      <c r="AJ7" s="44" t="s">
        <v>32</v>
      </c>
      <c r="AK7" s="14" t="s">
        <v>32</v>
      </c>
      <c r="AL7" s="13" t="s">
        <v>32</v>
      </c>
      <c r="AM7" s="44" t="s">
        <v>32</v>
      </c>
      <c r="AN7" s="44" t="s">
        <v>32</v>
      </c>
      <c r="AO7" s="14" t="s">
        <v>32</v>
      </c>
      <c r="AP7" s="13" t="s">
        <v>32</v>
      </c>
      <c r="AQ7" s="44" t="s">
        <v>32</v>
      </c>
      <c r="AR7" s="44" t="s">
        <v>2</v>
      </c>
      <c r="AS7" s="14" t="s">
        <v>2</v>
      </c>
      <c r="AT7" s="13" t="s">
        <v>32</v>
      </c>
      <c r="AU7" s="44" t="s">
        <v>32</v>
      </c>
      <c r="AV7" s="44" t="s">
        <v>32</v>
      </c>
      <c r="AW7" s="14" t="s">
        <v>32</v>
      </c>
    </row>
    <row r="8" spans="1:49" ht="15.75" thickBot="1" x14ac:dyDescent="0.3">
      <c r="A8" s="6" t="s">
        <v>33</v>
      </c>
      <c r="B8" s="16" t="s">
        <v>33</v>
      </c>
      <c r="C8" s="16" t="s">
        <v>33</v>
      </c>
      <c r="D8" s="16" t="s">
        <v>33</v>
      </c>
      <c r="E8" s="17" t="s">
        <v>33</v>
      </c>
      <c r="F8" s="15" t="s">
        <v>33</v>
      </c>
      <c r="G8" s="16" t="s">
        <v>33</v>
      </c>
      <c r="H8" s="16" t="s">
        <v>33</v>
      </c>
      <c r="I8" s="17" t="s">
        <v>33</v>
      </c>
      <c r="J8" s="15" t="s">
        <v>33</v>
      </c>
      <c r="K8" s="16" t="s">
        <v>2</v>
      </c>
      <c r="L8" s="16" t="s">
        <v>2</v>
      </c>
      <c r="M8" s="17" t="s">
        <v>2</v>
      </c>
      <c r="N8" s="15" t="s">
        <v>28</v>
      </c>
      <c r="O8" s="16" t="s">
        <v>28</v>
      </c>
      <c r="P8" s="16" t="s">
        <v>28</v>
      </c>
      <c r="Q8" s="17" t="s">
        <v>28</v>
      </c>
      <c r="R8" s="15" t="s">
        <v>28</v>
      </c>
      <c r="S8" s="16" t="s">
        <v>28</v>
      </c>
      <c r="T8" s="16" t="s">
        <v>28</v>
      </c>
      <c r="U8" s="17" t="s">
        <v>28</v>
      </c>
      <c r="V8" s="15" t="s">
        <v>28</v>
      </c>
      <c r="W8" s="16" t="s">
        <v>28</v>
      </c>
      <c r="X8" s="16" t="s">
        <v>2</v>
      </c>
      <c r="Y8" s="17" t="s">
        <v>2</v>
      </c>
      <c r="Z8" s="15" t="s">
        <v>2</v>
      </c>
      <c r="AA8" s="16" t="s">
        <v>2</v>
      </c>
      <c r="AB8" s="16" t="s">
        <v>2</v>
      </c>
      <c r="AC8" s="17" t="s">
        <v>2</v>
      </c>
      <c r="AD8" s="15" t="s">
        <v>2</v>
      </c>
      <c r="AE8" s="16" t="s">
        <v>2</v>
      </c>
      <c r="AF8" s="16" t="s">
        <v>2</v>
      </c>
      <c r="AG8" s="17" t="s">
        <v>2</v>
      </c>
      <c r="AH8" s="15" t="s">
        <v>28</v>
      </c>
      <c r="AI8" s="16" t="s">
        <v>28</v>
      </c>
      <c r="AJ8" s="16" t="s">
        <v>33</v>
      </c>
      <c r="AK8" s="17" t="s">
        <v>33</v>
      </c>
      <c r="AL8" s="15" t="s">
        <v>33</v>
      </c>
      <c r="AM8" s="16" t="s">
        <v>33</v>
      </c>
      <c r="AN8" s="16" t="s">
        <v>33</v>
      </c>
      <c r="AO8" s="17" t="s">
        <v>33</v>
      </c>
      <c r="AP8" s="15" t="s">
        <v>2</v>
      </c>
      <c r="AQ8" s="16" t="s">
        <v>2</v>
      </c>
      <c r="AR8" s="16" t="s">
        <v>33</v>
      </c>
      <c r="AS8" s="17" t="s">
        <v>33</v>
      </c>
      <c r="AT8" s="15" t="s">
        <v>33</v>
      </c>
      <c r="AU8" s="16" t="s">
        <v>33</v>
      </c>
      <c r="AV8" s="16" t="s">
        <v>33</v>
      </c>
      <c r="AW8" s="17" t="s">
        <v>33</v>
      </c>
    </row>
    <row r="9" spans="1:49" ht="15.75" thickBot="1" x14ac:dyDescent="0.3">
      <c r="A9" s="40" t="s">
        <v>22</v>
      </c>
      <c r="B9" s="30">
        <f>SUM(COUNTIF(B3:B8,"=AL*"))</f>
        <v>6</v>
      </c>
      <c r="C9" s="30">
        <f t="shared" ref="C9:AW9" si="0">SUM(COUNTIF(C3:C8,"=AL*"))</f>
        <v>6</v>
      </c>
      <c r="D9" s="30">
        <f t="shared" si="0"/>
        <v>6</v>
      </c>
      <c r="E9" s="30">
        <f t="shared" si="0"/>
        <v>6</v>
      </c>
      <c r="F9" s="30">
        <f t="shared" si="0"/>
        <v>6</v>
      </c>
      <c r="G9" s="30">
        <f t="shared" si="0"/>
        <v>5</v>
      </c>
      <c r="H9" s="30">
        <f t="shared" si="0"/>
        <v>4</v>
      </c>
      <c r="I9" s="30">
        <f t="shared" si="0"/>
        <v>5</v>
      </c>
      <c r="J9" s="30">
        <f t="shared" si="0"/>
        <v>6</v>
      </c>
      <c r="K9" s="30">
        <f t="shared" si="0"/>
        <v>4</v>
      </c>
      <c r="L9" s="30">
        <f t="shared" si="0"/>
        <v>4</v>
      </c>
      <c r="M9" s="30">
        <f t="shared" si="0"/>
        <v>4</v>
      </c>
      <c r="N9" s="30">
        <f t="shared" si="0"/>
        <v>2</v>
      </c>
      <c r="O9" s="30">
        <f t="shared" si="0"/>
        <v>2</v>
      </c>
      <c r="P9" s="30">
        <f t="shared" si="0"/>
        <v>2</v>
      </c>
      <c r="Q9" s="30">
        <f t="shared" si="0"/>
        <v>2</v>
      </c>
      <c r="R9" s="30">
        <f t="shared" si="0"/>
        <v>2</v>
      </c>
      <c r="S9" s="30">
        <f t="shared" si="0"/>
        <v>2</v>
      </c>
      <c r="T9" s="30">
        <f t="shared" si="0"/>
        <v>2</v>
      </c>
      <c r="U9" s="30">
        <f t="shared" si="0"/>
        <v>2</v>
      </c>
      <c r="V9" s="30">
        <f t="shared" si="0"/>
        <v>2</v>
      </c>
      <c r="W9" s="30">
        <f t="shared" si="0"/>
        <v>2</v>
      </c>
      <c r="X9" s="30">
        <f t="shared" si="0"/>
        <v>4</v>
      </c>
      <c r="Y9" s="30">
        <f t="shared" si="0"/>
        <v>4</v>
      </c>
      <c r="Z9" s="30">
        <f t="shared" si="0"/>
        <v>4</v>
      </c>
      <c r="AA9" s="30">
        <f t="shared" si="0"/>
        <v>4</v>
      </c>
      <c r="AB9" s="30">
        <f t="shared" si="0"/>
        <v>4</v>
      </c>
      <c r="AC9" s="30">
        <f t="shared" si="0"/>
        <v>4</v>
      </c>
      <c r="AD9" s="30">
        <f t="shared" si="0"/>
        <v>4</v>
      </c>
      <c r="AE9" s="30">
        <f t="shared" si="0"/>
        <v>4</v>
      </c>
      <c r="AF9" s="30">
        <f t="shared" si="0"/>
        <v>2</v>
      </c>
      <c r="AG9" s="30">
        <f t="shared" si="0"/>
        <v>2</v>
      </c>
      <c r="AH9" s="30">
        <f t="shared" si="0"/>
        <v>4</v>
      </c>
      <c r="AI9" s="30">
        <f t="shared" si="0"/>
        <v>4</v>
      </c>
      <c r="AJ9" s="30">
        <f t="shared" si="0"/>
        <v>6</v>
      </c>
      <c r="AK9" s="30">
        <f t="shared" si="0"/>
        <v>6</v>
      </c>
      <c r="AL9" s="30">
        <f t="shared" si="0"/>
        <v>6</v>
      </c>
      <c r="AM9" s="30">
        <f t="shared" si="0"/>
        <v>6</v>
      </c>
      <c r="AN9" s="30">
        <f t="shared" si="0"/>
        <v>4</v>
      </c>
      <c r="AO9" s="30">
        <f t="shared" si="0"/>
        <v>4</v>
      </c>
      <c r="AP9" s="30">
        <f t="shared" si="0"/>
        <v>4</v>
      </c>
      <c r="AQ9" s="30">
        <f t="shared" si="0"/>
        <v>4</v>
      </c>
      <c r="AR9" s="30">
        <f t="shared" si="0"/>
        <v>4</v>
      </c>
      <c r="AS9" s="30">
        <f t="shared" si="0"/>
        <v>4</v>
      </c>
      <c r="AT9" s="30">
        <f t="shared" si="0"/>
        <v>6</v>
      </c>
      <c r="AU9" s="30">
        <f t="shared" si="0"/>
        <v>6</v>
      </c>
      <c r="AV9" s="30">
        <f t="shared" si="0"/>
        <v>6</v>
      </c>
      <c r="AW9" s="31">
        <f t="shared" si="0"/>
        <v>6</v>
      </c>
    </row>
    <row r="10" spans="1:49" ht="15.75" thickBot="1" x14ac:dyDescent="0.3">
      <c r="A10" s="40" t="s">
        <v>23</v>
      </c>
      <c r="B10" s="30">
        <f>SUM(COUNTIF(B3:B8,"=Acar*"))</f>
        <v>0</v>
      </c>
      <c r="C10" s="30">
        <f t="shared" ref="C10:AW10" si="1">SUM(COUNTIF(C3:C8,"=Acar*"))</f>
        <v>0</v>
      </c>
      <c r="D10" s="30">
        <f t="shared" si="1"/>
        <v>0</v>
      </c>
      <c r="E10" s="30">
        <f t="shared" si="1"/>
        <v>0</v>
      </c>
      <c r="F10" s="30">
        <f t="shared" si="1"/>
        <v>0</v>
      </c>
      <c r="G10" s="30">
        <f t="shared" si="1"/>
        <v>0</v>
      </c>
      <c r="H10" s="30">
        <f t="shared" si="1"/>
        <v>0</v>
      </c>
      <c r="I10" s="30">
        <f t="shared" si="1"/>
        <v>0</v>
      </c>
      <c r="J10" s="30">
        <f t="shared" si="1"/>
        <v>0</v>
      </c>
      <c r="K10" s="30">
        <f t="shared" si="1"/>
        <v>0</v>
      </c>
      <c r="L10" s="30">
        <f t="shared" si="1"/>
        <v>0</v>
      </c>
      <c r="M10" s="30">
        <f t="shared" si="1"/>
        <v>0</v>
      </c>
      <c r="N10" s="30">
        <f t="shared" si="1"/>
        <v>0</v>
      </c>
      <c r="O10" s="30">
        <f t="shared" si="1"/>
        <v>0</v>
      </c>
      <c r="P10" s="30">
        <f t="shared" si="1"/>
        <v>0</v>
      </c>
      <c r="Q10" s="30">
        <f t="shared" si="1"/>
        <v>0</v>
      </c>
      <c r="R10" s="30">
        <f t="shared" si="1"/>
        <v>0</v>
      </c>
      <c r="S10" s="30">
        <f t="shared" si="1"/>
        <v>0</v>
      </c>
      <c r="T10" s="30">
        <f t="shared" si="1"/>
        <v>0</v>
      </c>
      <c r="U10" s="30">
        <f t="shared" si="1"/>
        <v>0</v>
      </c>
      <c r="V10" s="30">
        <f t="shared" si="1"/>
        <v>0</v>
      </c>
      <c r="W10" s="30">
        <f t="shared" si="1"/>
        <v>0</v>
      </c>
      <c r="X10" s="30">
        <f t="shared" si="1"/>
        <v>0</v>
      </c>
      <c r="Y10" s="30">
        <f t="shared" si="1"/>
        <v>0</v>
      </c>
      <c r="Z10" s="30">
        <f t="shared" si="1"/>
        <v>0</v>
      </c>
      <c r="AA10" s="30">
        <f t="shared" si="1"/>
        <v>0</v>
      </c>
      <c r="AB10" s="30">
        <f t="shared" si="1"/>
        <v>0</v>
      </c>
      <c r="AC10" s="30">
        <f t="shared" si="1"/>
        <v>0</v>
      </c>
      <c r="AD10" s="30">
        <f t="shared" si="1"/>
        <v>0</v>
      </c>
      <c r="AE10" s="30">
        <f t="shared" si="1"/>
        <v>0</v>
      </c>
      <c r="AF10" s="30">
        <f t="shared" si="1"/>
        <v>0</v>
      </c>
      <c r="AG10" s="30">
        <f t="shared" si="1"/>
        <v>0</v>
      </c>
      <c r="AH10" s="30">
        <f t="shared" si="1"/>
        <v>0</v>
      </c>
      <c r="AI10" s="30">
        <f t="shared" si="1"/>
        <v>0</v>
      </c>
      <c r="AJ10" s="30">
        <f t="shared" si="1"/>
        <v>0</v>
      </c>
      <c r="AK10" s="30">
        <f t="shared" si="1"/>
        <v>0</v>
      </c>
      <c r="AL10" s="30">
        <f t="shared" si="1"/>
        <v>0</v>
      </c>
      <c r="AM10" s="30">
        <f t="shared" si="1"/>
        <v>0</v>
      </c>
      <c r="AN10" s="30">
        <f t="shared" si="1"/>
        <v>0</v>
      </c>
      <c r="AO10" s="30">
        <f t="shared" si="1"/>
        <v>0</v>
      </c>
      <c r="AP10" s="30">
        <f t="shared" si="1"/>
        <v>0</v>
      </c>
      <c r="AQ10" s="30">
        <f t="shared" si="1"/>
        <v>0</v>
      </c>
      <c r="AR10" s="30">
        <f t="shared" si="1"/>
        <v>0</v>
      </c>
      <c r="AS10" s="30">
        <f t="shared" si="1"/>
        <v>0</v>
      </c>
      <c r="AT10" s="30">
        <f t="shared" si="1"/>
        <v>0</v>
      </c>
      <c r="AU10" s="30">
        <f t="shared" si="1"/>
        <v>0</v>
      </c>
      <c r="AV10" s="30">
        <f t="shared" si="1"/>
        <v>0</v>
      </c>
      <c r="AW10" s="31">
        <f t="shared" si="1"/>
        <v>0</v>
      </c>
    </row>
    <row r="11" spans="1:49" ht="15.75" thickBot="1" x14ac:dyDescent="0.3">
      <c r="A11" s="40" t="s">
        <v>1</v>
      </c>
      <c r="B11" s="28" t="str">
        <f>IF(B10=0, CONCATENATE(B9), CONCATENATE(B9, ",",B10))</f>
        <v>6</v>
      </c>
      <c r="C11" s="28" t="str">
        <f t="shared" ref="C11:AW11" si="2">IF(C10=0, CONCATENATE(C9), CONCATENATE(C9, ",",C10))</f>
        <v>6</v>
      </c>
      <c r="D11" s="28" t="str">
        <f t="shared" si="2"/>
        <v>6</v>
      </c>
      <c r="E11" s="28" t="str">
        <f t="shared" si="2"/>
        <v>6</v>
      </c>
      <c r="F11" s="28" t="str">
        <f t="shared" si="2"/>
        <v>6</v>
      </c>
      <c r="G11" s="28" t="str">
        <f t="shared" si="2"/>
        <v>5</v>
      </c>
      <c r="H11" s="28" t="str">
        <f t="shared" si="2"/>
        <v>4</v>
      </c>
      <c r="I11" s="28" t="str">
        <f t="shared" si="2"/>
        <v>5</v>
      </c>
      <c r="J11" s="28" t="str">
        <f t="shared" si="2"/>
        <v>6</v>
      </c>
      <c r="K11" s="28" t="str">
        <f t="shared" si="2"/>
        <v>4</v>
      </c>
      <c r="L11" s="28" t="str">
        <f t="shared" si="2"/>
        <v>4</v>
      </c>
      <c r="M11" s="28" t="str">
        <f t="shared" si="2"/>
        <v>4</v>
      </c>
      <c r="N11" s="28" t="str">
        <f t="shared" si="2"/>
        <v>2</v>
      </c>
      <c r="O11" s="28" t="str">
        <f t="shared" si="2"/>
        <v>2</v>
      </c>
      <c r="P11" s="28" t="str">
        <f t="shared" si="2"/>
        <v>2</v>
      </c>
      <c r="Q11" s="28" t="str">
        <f t="shared" si="2"/>
        <v>2</v>
      </c>
      <c r="R11" s="28" t="str">
        <f t="shared" si="2"/>
        <v>2</v>
      </c>
      <c r="S11" s="28" t="str">
        <f t="shared" si="2"/>
        <v>2</v>
      </c>
      <c r="T11" s="28" t="str">
        <f t="shared" si="2"/>
        <v>2</v>
      </c>
      <c r="U11" s="28" t="str">
        <f t="shared" si="2"/>
        <v>2</v>
      </c>
      <c r="V11" s="28" t="str">
        <f t="shared" si="2"/>
        <v>2</v>
      </c>
      <c r="W11" s="28" t="str">
        <f t="shared" si="2"/>
        <v>2</v>
      </c>
      <c r="X11" s="28" t="str">
        <f t="shared" si="2"/>
        <v>4</v>
      </c>
      <c r="Y11" s="28" t="str">
        <f t="shared" si="2"/>
        <v>4</v>
      </c>
      <c r="Z11" s="28" t="str">
        <f t="shared" si="2"/>
        <v>4</v>
      </c>
      <c r="AA11" s="28" t="str">
        <f t="shared" si="2"/>
        <v>4</v>
      </c>
      <c r="AB11" s="28" t="str">
        <f t="shared" si="2"/>
        <v>4</v>
      </c>
      <c r="AC11" s="28" t="str">
        <f t="shared" si="2"/>
        <v>4</v>
      </c>
      <c r="AD11" s="28" t="str">
        <f t="shared" si="2"/>
        <v>4</v>
      </c>
      <c r="AE11" s="28" t="str">
        <f t="shared" si="2"/>
        <v>4</v>
      </c>
      <c r="AF11" s="28" t="str">
        <f t="shared" si="2"/>
        <v>2</v>
      </c>
      <c r="AG11" s="28" t="str">
        <f t="shared" si="2"/>
        <v>2</v>
      </c>
      <c r="AH11" s="28" t="str">
        <f t="shared" si="2"/>
        <v>4</v>
      </c>
      <c r="AI11" s="28" t="str">
        <f t="shared" si="2"/>
        <v>4</v>
      </c>
      <c r="AJ11" s="28" t="str">
        <f t="shared" si="2"/>
        <v>6</v>
      </c>
      <c r="AK11" s="28" t="str">
        <f t="shared" si="2"/>
        <v>6</v>
      </c>
      <c r="AL11" s="28" t="str">
        <f t="shared" si="2"/>
        <v>6</v>
      </c>
      <c r="AM11" s="28" t="str">
        <f t="shared" si="2"/>
        <v>6</v>
      </c>
      <c r="AN11" s="28" t="str">
        <f t="shared" si="2"/>
        <v>4</v>
      </c>
      <c r="AO11" s="28" t="str">
        <f t="shared" si="2"/>
        <v>4</v>
      </c>
      <c r="AP11" s="28" t="str">
        <f t="shared" si="2"/>
        <v>4</v>
      </c>
      <c r="AQ11" s="28" t="str">
        <f t="shared" si="2"/>
        <v>4</v>
      </c>
      <c r="AR11" s="28" t="str">
        <f t="shared" si="2"/>
        <v>4</v>
      </c>
      <c r="AS11" s="28" t="str">
        <f t="shared" si="2"/>
        <v>4</v>
      </c>
      <c r="AT11" s="28" t="str">
        <f t="shared" si="2"/>
        <v>6</v>
      </c>
      <c r="AU11" s="28" t="str">
        <f t="shared" si="2"/>
        <v>6</v>
      </c>
      <c r="AV11" s="28" t="str">
        <f t="shared" si="2"/>
        <v>6</v>
      </c>
      <c r="AW11" s="29" t="str">
        <f t="shared" si="2"/>
        <v>6</v>
      </c>
    </row>
    <row r="12" spans="1:49" ht="15.75" thickBot="1" x14ac:dyDescent="0.3">
      <c r="A12" s="37" t="s">
        <v>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9"/>
    </row>
    <row r="13" spans="1:49" ht="15.75" thickBot="1" x14ac:dyDescent="0.3">
      <c r="A13" s="4" t="s">
        <v>4</v>
      </c>
      <c r="B13" s="11"/>
      <c r="C13" s="11"/>
      <c r="D13" s="11"/>
      <c r="E13" s="11"/>
      <c r="F13" s="10"/>
      <c r="G13" s="11" t="s">
        <v>28</v>
      </c>
      <c r="H13" s="11" t="s">
        <v>30</v>
      </c>
      <c r="I13" s="12"/>
      <c r="J13" s="11"/>
      <c r="K13" s="11" t="s">
        <v>29</v>
      </c>
      <c r="L13" s="11" t="s">
        <v>29</v>
      </c>
      <c r="M13" s="11" t="s">
        <v>29</v>
      </c>
      <c r="N13" s="10"/>
      <c r="O13" s="11"/>
      <c r="P13" s="11"/>
      <c r="Q13" s="12"/>
      <c r="R13" s="11"/>
      <c r="S13" s="11"/>
      <c r="T13" s="11"/>
      <c r="U13" s="11"/>
      <c r="V13" s="10"/>
      <c r="W13" s="11"/>
      <c r="X13" s="11"/>
      <c r="Y13" s="12"/>
      <c r="Z13" s="11"/>
      <c r="AA13" s="11"/>
      <c r="AB13" s="11"/>
      <c r="AC13" s="11"/>
      <c r="AD13" s="10"/>
      <c r="AE13" s="11"/>
      <c r="AF13" s="11"/>
      <c r="AG13" s="12"/>
      <c r="AH13" s="11"/>
      <c r="AI13" s="11"/>
      <c r="AJ13" s="11"/>
      <c r="AK13" s="11"/>
      <c r="AL13" s="10"/>
      <c r="AM13" s="11"/>
      <c r="AN13" s="11" t="s">
        <v>30</v>
      </c>
      <c r="AO13" s="12" t="s">
        <v>30</v>
      </c>
      <c r="AP13" s="11" t="s">
        <v>29</v>
      </c>
      <c r="AQ13" s="11" t="s">
        <v>29</v>
      </c>
      <c r="AR13" s="11" t="s">
        <v>28</v>
      </c>
      <c r="AS13" s="11" t="s">
        <v>28</v>
      </c>
      <c r="AT13" s="10"/>
      <c r="AU13" s="11"/>
      <c r="AV13" s="11"/>
      <c r="AW13" s="12"/>
    </row>
    <row r="14" spans="1:49" x14ac:dyDescent="0.25">
      <c r="A14" s="4" t="s">
        <v>4</v>
      </c>
      <c r="B14" s="44"/>
      <c r="C14" s="44"/>
      <c r="D14" s="44"/>
      <c r="E14" s="44"/>
      <c r="F14" s="13"/>
      <c r="G14" s="44"/>
      <c r="H14" s="44" t="s">
        <v>31</v>
      </c>
      <c r="I14" s="14" t="s">
        <v>32</v>
      </c>
      <c r="J14" s="44"/>
      <c r="K14" s="44" t="s">
        <v>33</v>
      </c>
      <c r="L14" s="44" t="s">
        <v>33</v>
      </c>
      <c r="M14" s="44" t="s">
        <v>33</v>
      </c>
      <c r="N14" s="13"/>
      <c r="O14" s="44"/>
      <c r="P14" s="44"/>
      <c r="Q14" s="14"/>
      <c r="R14" s="44"/>
      <c r="S14" s="44"/>
      <c r="T14" s="44"/>
      <c r="U14" s="44"/>
      <c r="V14" s="13"/>
      <c r="W14" s="44"/>
      <c r="X14" s="44"/>
      <c r="Y14" s="14"/>
      <c r="Z14" s="44"/>
      <c r="AA14" s="44"/>
      <c r="AB14" s="44"/>
      <c r="AC14" s="44"/>
      <c r="AD14" s="13"/>
      <c r="AE14" s="44"/>
      <c r="AF14" s="44"/>
      <c r="AG14" s="14"/>
      <c r="AH14" s="44"/>
      <c r="AI14" s="44"/>
      <c r="AJ14" s="44"/>
      <c r="AK14" s="44"/>
      <c r="AL14" s="13"/>
      <c r="AM14" s="44"/>
      <c r="AN14" s="44" t="s">
        <v>31</v>
      </c>
      <c r="AO14" s="14" t="s">
        <v>31</v>
      </c>
      <c r="AP14" s="44" t="s">
        <v>33</v>
      </c>
      <c r="AQ14" s="44" t="s">
        <v>33</v>
      </c>
      <c r="AR14" s="44" t="s">
        <v>32</v>
      </c>
      <c r="AS14" s="44" t="s">
        <v>32</v>
      </c>
      <c r="AT14" s="13"/>
      <c r="AU14" s="44"/>
      <c r="AV14" s="44"/>
      <c r="AW14" s="14"/>
    </row>
    <row r="15" spans="1:49" x14ac:dyDescent="0.25">
      <c r="A15" s="5"/>
      <c r="B15" s="44"/>
      <c r="C15" s="44"/>
      <c r="D15" s="44"/>
      <c r="E15" s="44"/>
      <c r="F15" s="13"/>
      <c r="G15" s="44"/>
      <c r="H15" s="44"/>
      <c r="I15" s="14"/>
      <c r="J15" s="44"/>
      <c r="K15" s="44"/>
      <c r="L15" s="44"/>
      <c r="M15" s="44"/>
      <c r="N15" s="13"/>
      <c r="O15" s="44"/>
      <c r="P15" s="44"/>
      <c r="Q15" s="14"/>
      <c r="R15" s="44"/>
      <c r="S15" s="44"/>
      <c r="T15" s="44"/>
      <c r="U15" s="44"/>
      <c r="V15" s="13"/>
      <c r="W15" s="44"/>
      <c r="X15" s="44"/>
      <c r="Y15" s="14"/>
      <c r="Z15" s="44"/>
      <c r="AA15" s="44"/>
      <c r="AB15" s="44"/>
      <c r="AC15" s="44"/>
      <c r="AD15" s="13"/>
      <c r="AE15" s="44"/>
      <c r="AF15" s="44"/>
      <c r="AG15" s="14"/>
      <c r="AH15" s="44"/>
      <c r="AI15" s="44"/>
      <c r="AJ15" s="44"/>
      <c r="AK15" s="44"/>
      <c r="AL15" s="13"/>
      <c r="AM15" s="44"/>
      <c r="AN15" s="44"/>
      <c r="AO15" s="14"/>
      <c r="AP15" s="44"/>
      <c r="AQ15" s="44"/>
      <c r="AR15" s="44"/>
      <c r="AS15" s="44"/>
      <c r="AT15" s="13"/>
      <c r="AU15" s="44"/>
      <c r="AV15" s="44"/>
      <c r="AW15" s="14"/>
    </row>
    <row r="16" spans="1:49" x14ac:dyDescent="0.25">
      <c r="A16" s="5"/>
      <c r="B16" s="44"/>
      <c r="C16" s="44"/>
      <c r="D16" s="44"/>
      <c r="E16" s="44"/>
      <c r="F16" s="13"/>
      <c r="G16" s="44"/>
      <c r="H16" s="44"/>
      <c r="I16" s="14"/>
      <c r="J16" s="44"/>
      <c r="K16" s="44"/>
      <c r="L16" s="44"/>
      <c r="M16" s="44"/>
      <c r="N16" s="13"/>
      <c r="O16" s="44"/>
      <c r="P16" s="44"/>
      <c r="Q16" s="14"/>
      <c r="R16" s="44"/>
      <c r="S16" s="44"/>
      <c r="T16" s="44"/>
      <c r="U16" s="44"/>
      <c r="V16" s="13"/>
      <c r="W16" s="44"/>
      <c r="X16" s="44"/>
      <c r="Y16" s="14"/>
      <c r="Z16" s="44"/>
      <c r="AA16" s="44"/>
      <c r="AB16" s="44"/>
      <c r="AC16" s="44"/>
      <c r="AD16" s="13"/>
      <c r="AE16" s="44"/>
      <c r="AF16" s="44"/>
      <c r="AG16" s="14"/>
      <c r="AH16" s="44"/>
      <c r="AI16" s="44"/>
      <c r="AJ16" s="44"/>
      <c r="AK16" s="44"/>
      <c r="AL16" s="13"/>
      <c r="AM16" s="44"/>
      <c r="AN16" s="44"/>
      <c r="AO16" s="14"/>
      <c r="AP16" s="44"/>
      <c r="AQ16" s="44"/>
      <c r="AR16" s="44"/>
      <c r="AS16" s="44"/>
      <c r="AT16" s="13"/>
      <c r="AU16" s="44"/>
      <c r="AV16" s="44"/>
      <c r="AW16" s="14"/>
    </row>
    <row r="17" spans="1:49" x14ac:dyDescent="0.25">
      <c r="A17" s="5"/>
      <c r="B17" s="44"/>
      <c r="C17" s="44"/>
      <c r="D17" s="44"/>
      <c r="E17" s="44"/>
      <c r="F17" s="13"/>
      <c r="G17" s="44"/>
      <c r="H17" s="44"/>
      <c r="I17" s="14"/>
      <c r="J17" s="44"/>
      <c r="K17" s="44"/>
      <c r="L17" s="44"/>
      <c r="M17" s="44"/>
      <c r="N17" s="13"/>
      <c r="O17" s="44"/>
      <c r="P17" s="44"/>
      <c r="Q17" s="14"/>
      <c r="R17" s="44"/>
      <c r="S17" s="44"/>
      <c r="T17" s="44"/>
      <c r="U17" s="44"/>
      <c r="V17" s="13"/>
      <c r="W17" s="44"/>
      <c r="X17" s="44"/>
      <c r="Y17" s="14"/>
      <c r="Z17" s="44"/>
      <c r="AA17" s="44"/>
      <c r="AB17" s="44"/>
      <c r="AC17" s="44"/>
      <c r="AD17" s="13"/>
      <c r="AE17" s="44"/>
      <c r="AF17" s="44"/>
      <c r="AG17" s="14"/>
      <c r="AH17" s="44"/>
      <c r="AI17" s="44"/>
      <c r="AJ17" s="44"/>
      <c r="AK17" s="44"/>
      <c r="AL17" s="13"/>
      <c r="AM17" s="44"/>
      <c r="AN17" s="44"/>
      <c r="AO17" s="14"/>
      <c r="AP17" s="44"/>
      <c r="AQ17" s="44"/>
      <c r="AR17" s="44"/>
      <c r="AS17" s="44"/>
      <c r="AT17" s="13"/>
      <c r="AU17" s="44"/>
      <c r="AV17" s="44"/>
      <c r="AW17" s="14"/>
    </row>
    <row r="18" spans="1:49" ht="15.75" thickBot="1" x14ac:dyDescent="0.3">
      <c r="A18" s="6"/>
      <c r="B18" s="16"/>
      <c r="C18" s="16"/>
      <c r="D18" s="16"/>
      <c r="E18" s="16"/>
      <c r="F18" s="15"/>
      <c r="G18" s="16"/>
      <c r="H18" s="16"/>
      <c r="I18" s="17"/>
      <c r="J18" s="16"/>
      <c r="K18" s="16"/>
      <c r="L18" s="16"/>
      <c r="M18" s="16"/>
      <c r="N18" s="15"/>
      <c r="O18" s="16"/>
      <c r="P18" s="16"/>
      <c r="Q18" s="17"/>
      <c r="R18" s="16"/>
      <c r="S18" s="16"/>
      <c r="T18" s="16"/>
      <c r="U18" s="16"/>
      <c r="V18" s="15"/>
      <c r="W18" s="16"/>
      <c r="X18" s="16"/>
      <c r="Y18" s="17"/>
      <c r="Z18" s="16"/>
      <c r="AA18" s="16"/>
      <c r="AB18" s="16"/>
      <c r="AC18" s="16"/>
      <c r="AD18" s="15"/>
      <c r="AE18" s="16"/>
      <c r="AF18" s="16"/>
      <c r="AG18" s="17"/>
      <c r="AH18" s="16"/>
      <c r="AI18" s="16"/>
      <c r="AJ18" s="16"/>
      <c r="AK18" s="16"/>
      <c r="AL18" s="15"/>
      <c r="AM18" s="16"/>
      <c r="AN18" s="16"/>
      <c r="AO18" s="17"/>
      <c r="AP18" s="16"/>
      <c r="AQ18" s="16"/>
      <c r="AR18" s="16"/>
      <c r="AS18" s="16"/>
      <c r="AT18" s="15"/>
      <c r="AU18" s="16"/>
      <c r="AV18" s="16"/>
      <c r="AW18" s="17"/>
    </row>
    <row r="19" spans="1:49" ht="15.75" thickBot="1" x14ac:dyDescent="0.3">
      <c r="A19" s="40" t="s">
        <v>22</v>
      </c>
      <c r="B19" s="30">
        <f>SUM(COUNTIF(B13:B18,"=AL*"))</f>
        <v>0</v>
      </c>
      <c r="C19" s="30">
        <f t="shared" ref="C19:AW19" si="3">SUM(COUNTIF(C13:C18,"=AL*"))</f>
        <v>0</v>
      </c>
      <c r="D19" s="30">
        <f t="shared" si="3"/>
        <v>0</v>
      </c>
      <c r="E19" s="30">
        <f t="shared" si="3"/>
        <v>0</v>
      </c>
      <c r="F19" s="30">
        <f t="shared" si="3"/>
        <v>0</v>
      </c>
      <c r="G19" s="30">
        <f t="shared" si="3"/>
        <v>1</v>
      </c>
      <c r="H19" s="30">
        <f t="shared" si="3"/>
        <v>2</v>
      </c>
      <c r="I19" s="30">
        <f t="shared" si="3"/>
        <v>1</v>
      </c>
      <c r="J19" s="30">
        <f t="shared" si="3"/>
        <v>0</v>
      </c>
      <c r="K19" s="30">
        <f t="shared" si="3"/>
        <v>2</v>
      </c>
      <c r="L19" s="30">
        <f t="shared" si="3"/>
        <v>2</v>
      </c>
      <c r="M19" s="30">
        <f t="shared" si="3"/>
        <v>2</v>
      </c>
      <c r="N19" s="30">
        <f t="shared" si="3"/>
        <v>0</v>
      </c>
      <c r="O19" s="30">
        <f t="shared" si="3"/>
        <v>0</v>
      </c>
      <c r="P19" s="30">
        <f t="shared" si="3"/>
        <v>0</v>
      </c>
      <c r="Q19" s="30">
        <f t="shared" si="3"/>
        <v>0</v>
      </c>
      <c r="R19" s="30">
        <f t="shared" si="3"/>
        <v>0</v>
      </c>
      <c r="S19" s="30">
        <f t="shared" si="3"/>
        <v>0</v>
      </c>
      <c r="T19" s="30">
        <f t="shared" si="3"/>
        <v>0</v>
      </c>
      <c r="U19" s="30">
        <f t="shared" si="3"/>
        <v>0</v>
      </c>
      <c r="V19" s="30">
        <f t="shared" si="3"/>
        <v>0</v>
      </c>
      <c r="W19" s="30">
        <f t="shared" si="3"/>
        <v>0</v>
      </c>
      <c r="X19" s="30">
        <f t="shared" si="3"/>
        <v>0</v>
      </c>
      <c r="Y19" s="30">
        <f t="shared" si="3"/>
        <v>0</v>
      </c>
      <c r="Z19" s="30">
        <f t="shared" si="3"/>
        <v>0</v>
      </c>
      <c r="AA19" s="30">
        <f t="shared" si="3"/>
        <v>0</v>
      </c>
      <c r="AB19" s="30">
        <f t="shared" si="3"/>
        <v>0</v>
      </c>
      <c r="AC19" s="30">
        <f t="shared" si="3"/>
        <v>0</v>
      </c>
      <c r="AD19" s="30">
        <f t="shared" si="3"/>
        <v>0</v>
      </c>
      <c r="AE19" s="30">
        <f t="shared" si="3"/>
        <v>0</v>
      </c>
      <c r="AF19" s="30">
        <f t="shared" si="3"/>
        <v>0</v>
      </c>
      <c r="AG19" s="30">
        <f t="shared" si="3"/>
        <v>0</v>
      </c>
      <c r="AH19" s="30">
        <f t="shared" si="3"/>
        <v>0</v>
      </c>
      <c r="AI19" s="30">
        <f t="shared" si="3"/>
        <v>0</v>
      </c>
      <c r="AJ19" s="30">
        <f t="shared" si="3"/>
        <v>0</v>
      </c>
      <c r="AK19" s="30">
        <f t="shared" si="3"/>
        <v>0</v>
      </c>
      <c r="AL19" s="30">
        <f t="shared" si="3"/>
        <v>0</v>
      </c>
      <c r="AM19" s="30">
        <f t="shared" si="3"/>
        <v>0</v>
      </c>
      <c r="AN19" s="30">
        <f t="shared" si="3"/>
        <v>2</v>
      </c>
      <c r="AO19" s="30">
        <f t="shared" si="3"/>
        <v>2</v>
      </c>
      <c r="AP19" s="30">
        <f t="shared" si="3"/>
        <v>2</v>
      </c>
      <c r="AQ19" s="30">
        <f t="shared" si="3"/>
        <v>2</v>
      </c>
      <c r="AR19" s="30">
        <f t="shared" si="3"/>
        <v>2</v>
      </c>
      <c r="AS19" s="30">
        <f t="shared" si="3"/>
        <v>2</v>
      </c>
      <c r="AT19" s="30">
        <f t="shared" si="3"/>
        <v>0</v>
      </c>
      <c r="AU19" s="30">
        <f t="shared" si="3"/>
        <v>0</v>
      </c>
      <c r="AV19" s="30">
        <f t="shared" si="3"/>
        <v>0</v>
      </c>
      <c r="AW19" s="31">
        <f t="shared" si="3"/>
        <v>0</v>
      </c>
    </row>
    <row r="20" spans="1:49" ht="15.75" thickBot="1" x14ac:dyDescent="0.3">
      <c r="A20" s="40" t="s">
        <v>23</v>
      </c>
      <c r="B20" s="30">
        <f>SUM(COUNTIF(B13:B18,"=Acar*"))</f>
        <v>0</v>
      </c>
      <c r="C20" s="30">
        <f t="shared" ref="C20:AW20" si="4">SUM(COUNTIF(C13:C18,"=Acar*"))</f>
        <v>0</v>
      </c>
      <c r="D20" s="30">
        <f t="shared" si="4"/>
        <v>0</v>
      </c>
      <c r="E20" s="30">
        <f t="shared" si="4"/>
        <v>0</v>
      </c>
      <c r="F20" s="30">
        <f t="shared" si="4"/>
        <v>0</v>
      </c>
      <c r="G20" s="30">
        <f t="shared" si="4"/>
        <v>0</v>
      </c>
      <c r="H20" s="30">
        <f t="shared" si="4"/>
        <v>0</v>
      </c>
      <c r="I20" s="30">
        <f t="shared" si="4"/>
        <v>0</v>
      </c>
      <c r="J20" s="30">
        <f t="shared" si="4"/>
        <v>0</v>
      </c>
      <c r="K20" s="30">
        <f t="shared" si="4"/>
        <v>0</v>
      </c>
      <c r="L20" s="30">
        <f t="shared" si="4"/>
        <v>0</v>
      </c>
      <c r="M20" s="30">
        <f t="shared" si="4"/>
        <v>0</v>
      </c>
      <c r="N20" s="30">
        <f t="shared" si="4"/>
        <v>0</v>
      </c>
      <c r="O20" s="30">
        <f t="shared" si="4"/>
        <v>0</v>
      </c>
      <c r="P20" s="30">
        <f t="shared" si="4"/>
        <v>0</v>
      </c>
      <c r="Q20" s="30">
        <f t="shared" si="4"/>
        <v>0</v>
      </c>
      <c r="R20" s="30">
        <f t="shared" si="4"/>
        <v>0</v>
      </c>
      <c r="S20" s="30">
        <f t="shared" si="4"/>
        <v>0</v>
      </c>
      <c r="T20" s="30">
        <f t="shared" si="4"/>
        <v>0</v>
      </c>
      <c r="U20" s="30">
        <f t="shared" si="4"/>
        <v>0</v>
      </c>
      <c r="V20" s="30">
        <f t="shared" si="4"/>
        <v>0</v>
      </c>
      <c r="W20" s="30">
        <f t="shared" si="4"/>
        <v>0</v>
      </c>
      <c r="X20" s="30">
        <f t="shared" si="4"/>
        <v>0</v>
      </c>
      <c r="Y20" s="30">
        <f t="shared" si="4"/>
        <v>0</v>
      </c>
      <c r="Z20" s="30">
        <f t="shared" si="4"/>
        <v>0</v>
      </c>
      <c r="AA20" s="30">
        <f t="shared" si="4"/>
        <v>0</v>
      </c>
      <c r="AB20" s="30">
        <f t="shared" si="4"/>
        <v>0</v>
      </c>
      <c r="AC20" s="30">
        <f t="shared" si="4"/>
        <v>0</v>
      </c>
      <c r="AD20" s="30">
        <f t="shared" si="4"/>
        <v>0</v>
      </c>
      <c r="AE20" s="30">
        <f t="shared" si="4"/>
        <v>0</v>
      </c>
      <c r="AF20" s="30">
        <f t="shared" si="4"/>
        <v>0</v>
      </c>
      <c r="AG20" s="30">
        <f t="shared" si="4"/>
        <v>0</v>
      </c>
      <c r="AH20" s="30">
        <f t="shared" si="4"/>
        <v>0</v>
      </c>
      <c r="AI20" s="30">
        <f t="shared" si="4"/>
        <v>0</v>
      </c>
      <c r="AJ20" s="30">
        <f t="shared" si="4"/>
        <v>0</v>
      </c>
      <c r="AK20" s="30">
        <f t="shared" si="4"/>
        <v>0</v>
      </c>
      <c r="AL20" s="30">
        <f t="shared" si="4"/>
        <v>0</v>
      </c>
      <c r="AM20" s="30">
        <f t="shared" si="4"/>
        <v>0</v>
      </c>
      <c r="AN20" s="30">
        <f t="shared" si="4"/>
        <v>0</v>
      </c>
      <c r="AO20" s="30">
        <f t="shared" si="4"/>
        <v>0</v>
      </c>
      <c r="AP20" s="30">
        <f t="shared" si="4"/>
        <v>0</v>
      </c>
      <c r="AQ20" s="30">
        <f t="shared" si="4"/>
        <v>0</v>
      </c>
      <c r="AR20" s="30">
        <f t="shared" si="4"/>
        <v>0</v>
      </c>
      <c r="AS20" s="30">
        <f t="shared" si="4"/>
        <v>0</v>
      </c>
      <c r="AT20" s="30">
        <f t="shared" si="4"/>
        <v>0</v>
      </c>
      <c r="AU20" s="30">
        <f t="shared" si="4"/>
        <v>0</v>
      </c>
      <c r="AV20" s="30">
        <f t="shared" si="4"/>
        <v>0</v>
      </c>
      <c r="AW20" s="31">
        <f t="shared" si="4"/>
        <v>0</v>
      </c>
    </row>
    <row r="21" spans="1:49" ht="15.75" thickBot="1" x14ac:dyDescent="0.3">
      <c r="A21" s="40" t="s">
        <v>1</v>
      </c>
      <c r="B21" s="28" t="str">
        <f>IF(B20=0, CONCATENATE(B19), CONCATENATE(B19, ",",B20))</f>
        <v>0</v>
      </c>
      <c r="C21" s="28" t="str">
        <f t="shared" ref="C21:AW21" si="5">IF(C20=0, CONCATENATE(C19), CONCATENATE(C19, ",",C20))</f>
        <v>0</v>
      </c>
      <c r="D21" s="28" t="str">
        <f t="shared" si="5"/>
        <v>0</v>
      </c>
      <c r="E21" s="28" t="str">
        <f t="shared" si="5"/>
        <v>0</v>
      </c>
      <c r="F21" s="28" t="str">
        <f t="shared" si="5"/>
        <v>0</v>
      </c>
      <c r="G21" s="28" t="str">
        <f t="shared" si="5"/>
        <v>1</v>
      </c>
      <c r="H21" s="28" t="str">
        <f t="shared" si="5"/>
        <v>2</v>
      </c>
      <c r="I21" s="28" t="str">
        <f t="shared" si="5"/>
        <v>1</v>
      </c>
      <c r="J21" s="28" t="str">
        <f t="shared" si="5"/>
        <v>0</v>
      </c>
      <c r="K21" s="28" t="str">
        <f t="shared" si="5"/>
        <v>2</v>
      </c>
      <c r="L21" s="28" t="str">
        <f t="shared" si="5"/>
        <v>2</v>
      </c>
      <c r="M21" s="28" t="str">
        <f t="shared" si="5"/>
        <v>2</v>
      </c>
      <c r="N21" s="28" t="str">
        <f t="shared" si="5"/>
        <v>0</v>
      </c>
      <c r="O21" s="28" t="str">
        <f t="shared" si="5"/>
        <v>0</v>
      </c>
      <c r="P21" s="28" t="str">
        <f t="shared" si="5"/>
        <v>0</v>
      </c>
      <c r="Q21" s="28" t="str">
        <f t="shared" si="5"/>
        <v>0</v>
      </c>
      <c r="R21" s="28" t="str">
        <f t="shared" si="5"/>
        <v>0</v>
      </c>
      <c r="S21" s="28" t="str">
        <f t="shared" si="5"/>
        <v>0</v>
      </c>
      <c r="T21" s="28" t="str">
        <f t="shared" si="5"/>
        <v>0</v>
      </c>
      <c r="U21" s="28" t="str">
        <f t="shared" si="5"/>
        <v>0</v>
      </c>
      <c r="V21" s="28" t="str">
        <f t="shared" si="5"/>
        <v>0</v>
      </c>
      <c r="W21" s="28" t="str">
        <f t="shared" si="5"/>
        <v>0</v>
      </c>
      <c r="X21" s="28" t="str">
        <f t="shared" si="5"/>
        <v>0</v>
      </c>
      <c r="Y21" s="28" t="str">
        <f t="shared" si="5"/>
        <v>0</v>
      </c>
      <c r="Z21" s="28" t="str">
        <f t="shared" si="5"/>
        <v>0</v>
      </c>
      <c r="AA21" s="28" t="str">
        <f t="shared" si="5"/>
        <v>0</v>
      </c>
      <c r="AB21" s="28" t="str">
        <f t="shared" si="5"/>
        <v>0</v>
      </c>
      <c r="AC21" s="28" t="str">
        <f t="shared" si="5"/>
        <v>0</v>
      </c>
      <c r="AD21" s="28" t="str">
        <f t="shared" si="5"/>
        <v>0</v>
      </c>
      <c r="AE21" s="28" t="str">
        <f t="shared" si="5"/>
        <v>0</v>
      </c>
      <c r="AF21" s="28" t="str">
        <f t="shared" si="5"/>
        <v>0</v>
      </c>
      <c r="AG21" s="28" t="str">
        <f t="shared" si="5"/>
        <v>0</v>
      </c>
      <c r="AH21" s="28" t="str">
        <f t="shared" si="5"/>
        <v>0</v>
      </c>
      <c r="AI21" s="28" t="str">
        <f t="shared" si="5"/>
        <v>0</v>
      </c>
      <c r="AJ21" s="28" t="str">
        <f t="shared" si="5"/>
        <v>0</v>
      </c>
      <c r="AK21" s="28" t="str">
        <f t="shared" si="5"/>
        <v>0</v>
      </c>
      <c r="AL21" s="28" t="str">
        <f t="shared" si="5"/>
        <v>0</v>
      </c>
      <c r="AM21" s="28" t="str">
        <f t="shared" si="5"/>
        <v>0</v>
      </c>
      <c r="AN21" s="28" t="str">
        <f t="shared" si="5"/>
        <v>2</v>
      </c>
      <c r="AO21" s="28" t="str">
        <f t="shared" si="5"/>
        <v>2</v>
      </c>
      <c r="AP21" s="28" t="str">
        <f t="shared" si="5"/>
        <v>2</v>
      </c>
      <c r="AQ21" s="28" t="str">
        <f t="shared" si="5"/>
        <v>2</v>
      </c>
      <c r="AR21" s="28" t="str">
        <f t="shared" si="5"/>
        <v>2</v>
      </c>
      <c r="AS21" s="28" t="str">
        <f t="shared" si="5"/>
        <v>2</v>
      </c>
      <c r="AT21" s="28" t="str">
        <f t="shared" si="5"/>
        <v>0</v>
      </c>
      <c r="AU21" s="28" t="str">
        <f t="shared" si="5"/>
        <v>0</v>
      </c>
      <c r="AV21" s="28" t="str">
        <f t="shared" si="5"/>
        <v>0</v>
      </c>
      <c r="AW21" s="29" t="str">
        <f t="shared" si="5"/>
        <v>0</v>
      </c>
    </row>
    <row r="22" spans="1:49" ht="15.75" thickBot="1" x14ac:dyDescent="0.3">
      <c r="A22" s="40" t="s">
        <v>24</v>
      </c>
      <c r="B22" s="33" t="str">
        <f>IF(SUM(B10,B20) = 0, CONCATENATE(SUM(B9+B19)), CONCATENATE(SUM(B9,B19), ",", SUM(B10,B20)))</f>
        <v>6</v>
      </c>
      <c r="C22" s="33" t="str">
        <f t="shared" ref="C22:AW22" si="6">IF(SUM(C10,C20) = 0, CONCATENATE(SUM(C9+C19)), CONCATENATE(SUM(C9,C19), ",", SUM(C10,C20)))</f>
        <v>6</v>
      </c>
      <c r="D22" s="33" t="str">
        <f t="shared" si="6"/>
        <v>6</v>
      </c>
      <c r="E22" s="33" t="str">
        <f t="shared" si="6"/>
        <v>6</v>
      </c>
      <c r="F22" s="33" t="str">
        <f t="shared" si="6"/>
        <v>6</v>
      </c>
      <c r="G22" s="33" t="str">
        <f t="shared" si="6"/>
        <v>6</v>
      </c>
      <c r="H22" s="33" t="str">
        <f t="shared" si="6"/>
        <v>6</v>
      </c>
      <c r="I22" s="33" t="str">
        <f t="shared" si="6"/>
        <v>6</v>
      </c>
      <c r="J22" s="33" t="str">
        <f t="shared" si="6"/>
        <v>6</v>
      </c>
      <c r="K22" s="33" t="str">
        <f t="shared" si="6"/>
        <v>6</v>
      </c>
      <c r="L22" s="33" t="str">
        <f t="shared" si="6"/>
        <v>6</v>
      </c>
      <c r="M22" s="33" t="str">
        <f t="shared" si="6"/>
        <v>6</v>
      </c>
      <c r="N22" s="33" t="str">
        <f t="shared" si="6"/>
        <v>2</v>
      </c>
      <c r="O22" s="33" t="str">
        <f t="shared" si="6"/>
        <v>2</v>
      </c>
      <c r="P22" s="33" t="str">
        <f t="shared" si="6"/>
        <v>2</v>
      </c>
      <c r="Q22" s="33" t="str">
        <f t="shared" si="6"/>
        <v>2</v>
      </c>
      <c r="R22" s="33" t="str">
        <f t="shared" si="6"/>
        <v>2</v>
      </c>
      <c r="S22" s="33" t="str">
        <f t="shared" si="6"/>
        <v>2</v>
      </c>
      <c r="T22" s="33" t="str">
        <f t="shared" si="6"/>
        <v>2</v>
      </c>
      <c r="U22" s="33" t="str">
        <f t="shared" si="6"/>
        <v>2</v>
      </c>
      <c r="V22" s="33" t="str">
        <f t="shared" si="6"/>
        <v>2</v>
      </c>
      <c r="W22" s="33" t="str">
        <f t="shared" si="6"/>
        <v>2</v>
      </c>
      <c r="X22" s="33" t="str">
        <f t="shared" si="6"/>
        <v>4</v>
      </c>
      <c r="Y22" s="33" t="str">
        <f t="shared" si="6"/>
        <v>4</v>
      </c>
      <c r="Z22" s="33" t="str">
        <f t="shared" si="6"/>
        <v>4</v>
      </c>
      <c r="AA22" s="33" t="str">
        <f t="shared" si="6"/>
        <v>4</v>
      </c>
      <c r="AB22" s="33" t="str">
        <f t="shared" si="6"/>
        <v>4</v>
      </c>
      <c r="AC22" s="33" t="str">
        <f t="shared" si="6"/>
        <v>4</v>
      </c>
      <c r="AD22" s="33" t="str">
        <f t="shared" si="6"/>
        <v>4</v>
      </c>
      <c r="AE22" s="33" t="str">
        <f t="shared" si="6"/>
        <v>4</v>
      </c>
      <c r="AF22" s="33" t="str">
        <f t="shared" si="6"/>
        <v>2</v>
      </c>
      <c r="AG22" s="33" t="str">
        <f t="shared" si="6"/>
        <v>2</v>
      </c>
      <c r="AH22" s="33" t="str">
        <f t="shared" si="6"/>
        <v>4</v>
      </c>
      <c r="AI22" s="33" t="str">
        <f t="shared" si="6"/>
        <v>4</v>
      </c>
      <c r="AJ22" s="33" t="str">
        <f t="shared" si="6"/>
        <v>6</v>
      </c>
      <c r="AK22" s="33" t="str">
        <f t="shared" si="6"/>
        <v>6</v>
      </c>
      <c r="AL22" s="33" t="str">
        <f t="shared" si="6"/>
        <v>6</v>
      </c>
      <c r="AM22" s="33" t="str">
        <f t="shared" si="6"/>
        <v>6</v>
      </c>
      <c r="AN22" s="33" t="str">
        <f t="shared" si="6"/>
        <v>6</v>
      </c>
      <c r="AO22" s="33" t="str">
        <f t="shared" si="6"/>
        <v>6</v>
      </c>
      <c r="AP22" s="33" t="str">
        <f t="shared" si="6"/>
        <v>6</v>
      </c>
      <c r="AQ22" s="33" t="str">
        <f t="shared" si="6"/>
        <v>6</v>
      </c>
      <c r="AR22" s="33" t="str">
        <f t="shared" si="6"/>
        <v>6</v>
      </c>
      <c r="AS22" s="33" t="str">
        <f t="shared" si="6"/>
        <v>6</v>
      </c>
      <c r="AT22" s="33" t="str">
        <f t="shared" si="6"/>
        <v>6</v>
      </c>
      <c r="AU22" s="33" t="str">
        <f t="shared" si="6"/>
        <v>6</v>
      </c>
      <c r="AV22" s="33" t="str">
        <f t="shared" si="6"/>
        <v>6</v>
      </c>
      <c r="AW22" s="34" t="str">
        <f t="shared" si="6"/>
        <v>6</v>
      </c>
    </row>
  </sheetData>
  <mergeCells count="2">
    <mergeCell ref="A2:AW2"/>
    <mergeCell ref="A12:AW12"/>
  </mergeCells>
  <conditionalFormatting sqref="B3:AW8 B13:AW18">
    <cfRule type="cellIs" dxfId="163" priority="2" operator="equal">
      <formula>"Acar1"</formula>
    </cfRule>
  </conditionalFormatting>
  <conditionalFormatting sqref="B3:AW10 B13:AW20">
    <cfRule type="cellIs" dxfId="162" priority="1" operator="equal">
      <formula>"AL1"</formula>
    </cfRule>
    <cfRule type="cellIs" dxfId="161" priority="3" operator="equal">
      <formula>"AL2"</formula>
    </cfRule>
    <cfRule type="cellIs" dxfId="160" priority="5" operator="equal">
      <formula>"Acar2"</formula>
    </cfRule>
    <cfRule type="cellIs" dxfId="159" priority="6" operator="equal">
      <formula>"AL3"</formula>
    </cfRule>
    <cfRule type="cellIs" dxfId="158" priority="8" operator="equal">
      <formula>"Acar3"</formula>
    </cfRule>
    <cfRule type="cellIs" dxfId="157" priority="9" operator="equal">
      <formula>"AL4"</formula>
    </cfRule>
    <cfRule type="cellIs" dxfId="156" priority="11" operator="equal">
      <formula>"Acar4"</formula>
    </cfRule>
    <cfRule type="cellIs" dxfId="155" priority="12" operator="equal">
      <formula>"AL5"</formula>
    </cfRule>
    <cfRule type="cellIs" dxfId="154" priority="14" operator="equal">
      <formula>"Acar5"</formula>
    </cfRule>
    <cfRule type="cellIs" dxfId="153" priority="15" operator="equal">
      <formula>"AL6"</formula>
    </cfRule>
    <cfRule type="cellIs" dxfId="152" priority="16" operator="equal">
      <formula>"Acar6"</formula>
    </cfRule>
  </conditionalFormatting>
  <pageMargins left="0.7" right="0.7" top="0.75" bottom="0.75" header="0.3" footer="0.3"/>
  <pageSetup scale="4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EA63E1-9175-4413-9074-C9404DFF7F7F}">
          <x14:formula1>
            <xm:f>List!$F$2:$F$19</xm:f>
          </x14:formula1>
          <xm:sqref>B13:AW18 B3:AW8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16A3-0F3A-4629-BC6C-1A1580C53FF2}">
  <sheetPr>
    <pageSetUpPr fitToPage="1"/>
  </sheetPr>
  <dimension ref="A1:AX22"/>
  <sheetViews>
    <sheetView zoomScale="80" zoomScaleNormal="80" workbookViewId="0">
      <selection activeCell="B19" sqref="B19:AW22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5" t="s">
        <v>0</v>
      </c>
      <c r="B1" s="41">
        <v>0.91666666666666663</v>
      </c>
      <c r="C1" s="42">
        <v>0.92708333333333337</v>
      </c>
      <c r="D1" s="42">
        <v>0.9375</v>
      </c>
      <c r="E1" s="43">
        <v>0.94791666666666663</v>
      </c>
      <c r="F1" s="41">
        <v>0.95833333333333404</v>
      </c>
      <c r="G1" s="42">
        <v>0.96875</v>
      </c>
      <c r="H1" s="42">
        <v>0.97916666666666696</v>
      </c>
      <c r="I1" s="43">
        <v>0.98958333333333404</v>
      </c>
      <c r="J1" s="41">
        <v>1</v>
      </c>
      <c r="K1" s="42">
        <v>1.0104166666666701</v>
      </c>
      <c r="L1" s="42">
        <v>1.0208333333333299</v>
      </c>
      <c r="M1" s="43">
        <v>1.03125</v>
      </c>
      <c r="N1" s="41">
        <v>1.0416666666666701</v>
      </c>
      <c r="O1" s="42">
        <v>1.0520833333333299</v>
      </c>
      <c r="P1" s="42">
        <v>1.0625</v>
      </c>
      <c r="Q1" s="43">
        <v>1.0729166666666701</v>
      </c>
      <c r="R1" s="41">
        <v>1.0833333333333299</v>
      </c>
      <c r="S1" s="42">
        <v>1.09375</v>
      </c>
      <c r="T1" s="42">
        <v>1.1041666666666701</v>
      </c>
      <c r="U1" s="43">
        <v>1.1145833333333299</v>
      </c>
      <c r="V1" s="41">
        <v>1.125</v>
      </c>
      <c r="W1" s="42">
        <v>1.1354166666666701</v>
      </c>
      <c r="X1" s="42">
        <v>1.1458333333333299</v>
      </c>
      <c r="Y1" s="43">
        <v>1.15625</v>
      </c>
      <c r="Z1" s="41">
        <v>1.1666666666666701</v>
      </c>
      <c r="AA1" s="42">
        <v>1.1770833333333399</v>
      </c>
      <c r="AB1" s="42">
        <v>1.1875</v>
      </c>
      <c r="AC1" s="43">
        <v>1.1979166666666701</v>
      </c>
      <c r="AD1" s="41">
        <v>1.2083333333333399</v>
      </c>
      <c r="AE1" s="42">
        <v>1.21875</v>
      </c>
      <c r="AF1" s="42">
        <v>1.2291666666666701</v>
      </c>
      <c r="AG1" s="43">
        <v>1.2395833333333399</v>
      </c>
      <c r="AH1" s="41">
        <v>1.25</v>
      </c>
      <c r="AI1" s="42">
        <v>1.2604166666666701</v>
      </c>
      <c r="AJ1" s="42">
        <v>1.2708333333333399</v>
      </c>
      <c r="AK1" s="43">
        <v>1.28125</v>
      </c>
      <c r="AL1" s="41">
        <v>1.2916666666666701</v>
      </c>
      <c r="AM1" s="42">
        <v>1.3020833333333399</v>
      </c>
      <c r="AN1" s="42">
        <v>1.3125</v>
      </c>
      <c r="AO1" s="43">
        <v>1.3229166666666701</v>
      </c>
      <c r="AP1" s="41">
        <v>1.3333333333333399</v>
      </c>
      <c r="AQ1" s="42">
        <v>1.34375</v>
      </c>
      <c r="AR1" s="42">
        <v>1.3541666666666701</v>
      </c>
      <c r="AS1" s="43">
        <v>1.3645833333333399</v>
      </c>
      <c r="AT1" s="41">
        <v>1.375</v>
      </c>
      <c r="AU1" s="42">
        <v>1.3854166666666701</v>
      </c>
      <c r="AV1" s="42">
        <v>1.3958333333333399</v>
      </c>
      <c r="AW1" s="43">
        <v>1.40625</v>
      </c>
    </row>
    <row r="2" spans="1:50" ht="15.75" thickBot="1" x14ac:dyDescent="0.3">
      <c r="A2" s="37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9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</v>
      </c>
      <c r="M3" s="18" t="s">
        <v>2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28</v>
      </c>
      <c r="W3" s="18" t="s">
        <v>28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</v>
      </c>
      <c r="AG3" s="18" t="s">
        <v>2</v>
      </c>
      <c r="AH3" s="18" t="s">
        <v>28</v>
      </c>
      <c r="AI3" s="18" t="s">
        <v>28</v>
      </c>
      <c r="AJ3" s="18" t="s">
        <v>28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</v>
      </c>
      <c r="J4" s="19" t="s">
        <v>2</v>
      </c>
      <c r="K4" s="19" t="s">
        <v>2</v>
      </c>
      <c r="L4" s="19" t="s">
        <v>29</v>
      </c>
      <c r="M4" s="19" t="s">
        <v>29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</v>
      </c>
      <c r="W4" s="19" t="s">
        <v>2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29</v>
      </c>
      <c r="AG4" s="19" t="s">
        <v>29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2</v>
      </c>
      <c r="I5" s="19" t="s">
        <v>30</v>
      </c>
      <c r="J5" s="19" t="s">
        <v>30</v>
      </c>
      <c r="K5" s="19" t="s">
        <v>30</v>
      </c>
      <c r="L5" s="19" t="s">
        <v>2</v>
      </c>
      <c r="M5" s="19" t="s">
        <v>2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30</v>
      </c>
      <c r="W5" s="19" t="s">
        <v>30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2</v>
      </c>
      <c r="AC5" s="19" t="s">
        <v>2</v>
      </c>
      <c r="AD5" s="19" t="s">
        <v>30</v>
      </c>
      <c r="AE5" s="19" t="s">
        <v>30</v>
      </c>
      <c r="AF5" s="19" t="s">
        <v>30</v>
      </c>
      <c r="AG5" s="19" t="s">
        <v>30</v>
      </c>
      <c r="AH5" s="19" t="s">
        <v>30</v>
      </c>
      <c r="AI5" s="19" t="s">
        <v>30</v>
      </c>
      <c r="AJ5" s="19" t="s">
        <v>30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15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2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2</v>
      </c>
      <c r="M6" s="19" t="s">
        <v>2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31</v>
      </c>
      <c r="W6" s="19" t="s">
        <v>31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2</v>
      </c>
      <c r="AC6" s="19" t="s">
        <v>2</v>
      </c>
      <c r="AD6" s="19" t="s">
        <v>31</v>
      </c>
      <c r="AE6" s="19" t="s">
        <v>31</v>
      </c>
      <c r="AF6" s="19" t="s">
        <v>31</v>
      </c>
      <c r="AG6" s="19" t="s">
        <v>31</v>
      </c>
      <c r="AH6" s="19" t="s">
        <v>31</v>
      </c>
      <c r="AI6" s="19" t="s">
        <v>31</v>
      </c>
      <c r="AJ6" s="19" t="s">
        <v>31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15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2</v>
      </c>
      <c r="I7" s="19" t="s">
        <v>32</v>
      </c>
      <c r="J7" s="19" t="s">
        <v>32</v>
      </c>
      <c r="K7" s="19" t="s">
        <v>32</v>
      </c>
      <c r="L7" s="19" t="s">
        <v>2</v>
      </c>
      <c r="M7" s="19" t="s">
        <v>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29</v>
      </c>
      <c r="W7" s="19" t="s">
        <v>29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</v>
      </c>
      <c r="AG7" s="19" t="s">
        <v>2</v>
      </c>
      <c r="AH7" s="19" t="s">
        <v>32</v>
      </c>
      <c r="AI7" s="19" t="s">
        <v>32</v>
      </c>
      <c r="AJ7" s="19" t="s">
        <v>32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9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2</v>
      </c>
      <c r="J8" s="26" t="s">
        <v>2</v>
      </c>
      <c r="K8" s="26" t="s">
        <v>2</v>
      </c>
      <c r="L8" s="26" t="s">
        <v>28</v>
      </c>
      <c r="M8" s="26" t="s">
        <v>28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</v>
      </c>
      <c r="W8" s="26" t="s">
        <v>2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28</v>
      </c>
      <c r="AG8" s="26" t="s">
        <v>28</v>
      </c>
      <c r="AH8" s="26" t="s">
        <v>33</v>
      </c>
      <c r="AI8" s="26" t="s">
        <v>33</v>
      </c>
      <c r="AJ8" s="26" t="s">
        <v>33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40" t="s">
        <v>22</v>
      </c>
      <c r="B9" s="30">
        <f>SUM(COUNTIF(B3:B8,"=AL*"))</f>
        <v>6</v>
      </c>
      <c r="C9" s="30">
        <f t="shared" ref="C9:AW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4</v>
      </c>
      <c r="H9" s="30">
        <f t="shared" si="1"/>
        <v>4</v>
      </c>
      <c r="I9" s="30">
        <f t="shared" si="1"/>
        <v>4</v>
      </c>
      <c r="J9" s="30">
        <f t="shared" si="1"/>
        <v>4</v>
      </c>
      <c r="K9" s="30">
        <f t="shared" si="1"/>
        <v>4</v>
      </c>
      <c r="L9" s="30">
        <f t="shared" si="1"/>
        <v>2</v>
      </c>
      <c r="M9" s="30">
        <f t="shared" si="1"/>
        <v>2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4</v>
      </c>
      <c r="W9" s="30">
        <f t="shared" si="1"/>
        <v>4</v>
      </c>
      <c r="X9" s="30">
        <f t="shared" si="1"/>
        <v>4</v>
      </c>
      <c r="Y9" s="30">
        <f t="shared" si="1"/>
        <v>4</v>
      </c>
      <c r="Z9" s="30">
        <f t="shared" si="1"/>
        <v>4</v>
      </c>
      <c r="AA9" s="30">
        <f t="shared" si="1"/>
        <v>4</v>
      </c>
      <c r="AB9" s="30">
        <f t="shared" si="1"/>
        <v>2</v>
      </c>
      <c r="AC9" s="30">
        <f t="shared" si="1"/>
        <v>2</v>
      </c>
      <c r="AD9" s="30">
        <f t="shared" si="1"/>
        <v>4</v>
      </c>
      <c r="AE9" s="30">
        <f t="shared" si="1"/>
        <v>4</v>
      </c>
      <c r="AF9" s="30">
        <f t="shared" si="1"/>
        <v>4</v>
      </c>
      <c r="AG9" s="30">
        <f t="shared" si="1"/>
        <v>4</v>
      </c>
      <c r="AH9" s="30">
        <f t="shared" si="1"/>
        <v>6</v>
      </c>
      <c r="AI9" s="30">
        <f t="shared" si="1"/>
        <v>6</v>
      </c>
      <c r="AJ9" s="30">
        <f t="shared" si="1"/>
        <v>6</v>
      </c>
      <c r="AK9" s="30">
        <f t="shared" si="1"/>
        <v>6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1">
        <f t="shared" si="1"/>
        <v>6</v>
      </c>
    </row>
    <row r="10" spans="1:50" ht="15.75" thickBot="1" x14ac:dyDescent="0.3">
      <c r="A10" s="40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1">
        <f t="shared" si="2"/>
        <v>0</v>
      </c>
    </row>
    <row r="11" spans="1:50" ht="15.75" thickBot="1" x14ac:dyDescent="0.3">
      <c r="A11" s="40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4</v>
      </c>
      <c r="H11" s="28" t="str">
        <f t="shared" si="3"/>
        <v>4</v>
      </c>
      <c r="I11" s="28" t="str">
        <f t="shared" si="3"/>
        <v>4</v>
      </c>
      <c r="J11" s="28" t="str">
        <f t="shared" si="3"/>
        <v>4</v>
      </c>
      <c r="K11" s="28" t="str">
        <f t="shared" si="3"/>
        <v>4</v>
      </c>
      <c r="L11" s="28" t="str">
        <f t="shared" si="3"/>
        <v>2</v>
      </c>
      <c r="M11" s="28" t="str">
        <f t="shared" si="3"/>
        <v>2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4</v>
      </c>
      <c r="W11" s="28" t="str">
        <f t="shared" si="3"/>
        <v>4</v>
      </c>
      <c r="X11" s="28" t="str">
        <f t="shared" si="3"/>
        <v>4</v>
      </c>
      <c r="Y11" s="28" t="str">
        <f t="shared" si="3"/>
        <v>4</v>
      </c>
      <c r="Z11" s="28" t="str">
        <f t="shared" si="3"/>
        <v>4</v>
      </c>
      <c r="AA11" s="28" t="str">
        <f t="shared" si="3"/>
        <v>4</v>
      </c>
      <c r="AB11" s="28" t="str">
        <f t="shared" si="3"/>
        <v>2</v>
      </c>
      <c r="AC11" s="28" t="str">
        <f t="shared" si="3"/>
        <v>2</v>
      </c>
      <c r="AD11" s="28" t="str">
        <f t="shared" si="3"/>
        <v>4</v>
      </c>
      <c r="AE11" s="28" t="str">
        <f t="shared" si="3"/>
        <v>4</v>
      </c>
      <c r="AF11" s="28" t="str">
        <f t="shared" si="3"/>
        <v>4</v>
      </c>
      <c r="AG11" s="28" t="str">
        <f t="shared" si="3"/>
        <v>4</v>
      </c>
      <c r="AH11" s="28" t="str">
        <f t="shared" si="3"/>
        <v>6</v>
      </c>
      <c r="AI11" s="28" t="str">
        <f t="shared" si="3"/>
        <v>6</v>
      </c>
      <c r="AJ11" s="28" t="str">
        <f t="shared" si="3"/>
        <v>6</v>
      </c>
      <c r="AK11" s="28" t="str">
        <f t="shared" si="3"/>
        <v>6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9" t="str">
        <f t="shared" si="3"/>
        <v>6</v>
      </c>
    </row>
    <row r="12" spans="1:50" ht="15.75" thickBot="1" x14ac:dyDescent="0.3">
      <c r="A12" s="37" t="s">
        <v>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9"/>
    </row>
    <row r="13" spans="1:50" ht="15.75" thickBot="1" x14ac:dyDescent="0.3">
      <c r="A13" s="7" t="s">
        <v>4</v>
      </c>
      <c r="B13" s="21"/>
      <c r="C13" s="18"/>
      <c r="D13" s="18"/>
      <c r="E13" s="18"/>
      <c r="F13" s="18"/>
      <c r="G13" s="18" t="s">
        <v>28</v>
      </c>
      <c r="H13" s="18" t="s">
        <v>30</v>
      </c>
      <c r="I13" s="18" t="s">
        <v>29</v>
      </c>
      <c r="J13" s="18" t="s">
        <v>29</v>
      </c>
      <c r="K13" s="18" t="s">
        <v>29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7" t="s">
        <v>4</v>
      </c>
      <c r="B14" s="23"/>
      <c r="C14" s="19"/>
      <c r="D14" s="19"/>
      <c r="E14" s="19"/>
      <c r="F14" s="19"/>
      <c r="G14" s="19" t="s">
        <v>31</v>
      </c>
      <c r="H14" s="19" t="s">
        <v>32</v>
      </c>
      <c r="I14" s="19" t="s">
        <v>33</v>
      </c>
      <c r="J14" s="19" t="s">
        <v>33</v>
      </c>
      <c r="K14" s="19" t="s">
        <v>33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40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2</v>
      </c>
      <c r="H19" s="30">
        <f t="shared" si="4"/>
        <v>2</v>
      </c>
      <c r="I19" s="30">
        <f t="shared" si="4"/>
        <v>2</v>
      </c>
      <c r="J19" s="30">
        <f t="shared" si="4"/>
        <v>2</v>
      </c>
      <c r="K19" s="30">
        <f t="shared" si="4"/>
        <v>2</v>
      </c>
      <c r="L19" s="30">
        <f t="shared" si="4"/>
        <v>0</v>
      </c>
      <c r="M19" s="30">
        <f t="shared" si="4"/>
        <v>0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40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40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2</v>
      </c>
      <c r="H21" s="28" t="str">
        <f t="shared" si="6"/>
        <v>2</v>
      </c>
      <c r="I21" s="28" t="str">
        <f t="shared" si="6"/>
        <v>2</v>
      </c>
      <c r="J21" s="28" t="str">
        <f t="shared" si="6"/>
        <v>2</v>
      </c>
      <c r="K21" s="28" t="str">
        <f t="shared" si="6"/>
        <v>2</v>
      </c>
      <c r="L21" s="28" t="str">
        <f t="shared" si="6"/>
        <v>0</v>
      </c>
      <c r="M21" s="28" t="str">
        <f t="shared" si="6"/>
        <v>0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40" t="s">
        <v>24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2</v>
      </c>
      <c r="M22" s="33" t="str">
        <f t="shared" si="7"/>
        <v>2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4</v>
      </c>
      <c r="W22" s="33" t="str">
        <f t="shared" si="7"/>
        <v>4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2</v>
      </c>
      <c r="AC22" s="33" t="str">
        <f t="shared" si="7"/>
        <v>2</v>
      </c>
      <c r="AD22" s="33" t="str">
        <f t="shared" si="7"/>
        <v>4</v>
      </c>
      <c r="AE22" s="33" t="str">
        <f t="shared" si="7"/>
        <v>4</v>
      </c>
      <c r="AF22" s="33" t="str">
        <f t="shared" si="7"/>
        <v>4</v>
      </c>
      <c r="AG22" s="33" t="str">
        <f t="shared" si="7"/>
        <v>4</v>
      </c>
      <c r="AH22" s="33" t="str">
        <f t="shared" si="7"/>
        <v>6</v>
      </c>
      <c r="AI22" s="33" t="str">
        <f t="shared" si="7"/>
        <v>6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B3:AW10 B13:AW20">
    <cfRule type="cellIs" dxfId="151" priority="67" operator="equal">
      <formula>"AL1"</formula>
    </cfRule>
    <cfRule type="cellIs" dxfId="150" priority="68" operator="equal">
      <formula>"Acar1"</formula>
    </cfRule>
    <cfRule type="cellIs" dxfId="149" priority="69" operator="equal">
      <formula>"AL2"</formula>
    </cfRule>
    <cfRule type="cellIs" dxfId="148" priority="70" operator="equal">
      <formula>"Acar2"</formula>
    </cfRule>
    <cfRule type="cellIs" dxfId="147" priority="71" operator="equal">
      <formula>"AL3"</formula>
    </cfRule>
    <cfRule type="cellIs" dxfId="146" priority="72" operator="equal">
      <formula>"Acar3"</formula>
    </cfRule>
    <cfRule type="cellIs" dxfId="145" priority="73" operator="equal">
      <formula>"AL4"</formula>
    </cfRule>
    <cfRule type="cellIs" dxfId="144" priority="74" operator="equal">
      <formula>"Acar4"</formula>
    </cfRule>
    <cfRule type="cellIs" dxfId="143" priority="75" operator="equal">
      <formula>"AL5"</formula>
    </cfRule>
    <cfRule type="cellIs" dxfId="142" priority="76" operator="equal">
      <formula>"Acar5"</formula>
    </cfRule>
    <cfRule type="cellIs" dxfId="141" priority="77" operator="equal">
      <formula>"AL6"</formula>
    </cfRule>
    <cfRule type="cellIs" dxfId="140" priority="78" operator="equal">
      <formula>"Acar6"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86B445-7AF2-44D4-9439-F02882B5AD2E}">
          <x14:formula1>
            <xm:f>List!$F$2:$F$19</xm:f>
          </x14:formula1>
          <xm:sqref>B3:AW8 B13:AW18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433D-F346-47C1-B44E-40E719E7E6D0}">
  <sheetPr>
    <pageSetUpPr fitToPage="1"/>
  </sheetPr>
  <dimension ref="A1:AX22"/>
  <sheetViews>
    <sheetView zoomScale="80" zoomScaleNormal="80" workbookViewId="0">
      <selection activeCell="B3" sqref="B3:AW8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6" t="s">
        <v>0</v>
      </c>
      <c r="B1" s="1">
        <v>0.91666666666666663</v>
      </c>
      <c r="C1" s="2">
        <v>0.92708333333333337</v>
      </c>
      <c r="D1" s="2">
        <v>0.9375</v>
      </c>
      <c r="E1" s="3">
        <v>0.94791666666666663</v>
      </c>
      <c r="F1" s="1">
        <v>0.95833333333333404</v>
      </c>
      <c r="G1" s="2">
        <v>0.96875</v>
      </c>
      <c r="H1" s="2">
        <v>0.97916666666666696</v>
      </c>
      <c r="I1" s="3">
        <v>0.98958333333333404</v>
      </c>
      <c r="J1" s="1">
        <v>1</v>
      </c>
      <c r="K1" s="2">
        <v>1.0104166666666701</v>
      </c>
      <c r="L1" s="2">
        <v>1.0208333333333299</v>
      </c>
      <c r="M1" s="3">
        <v>1.03125</v>
      </c>
      <c r="N1" s="1">
        <v>1.0416666666666701</v>
      </c>
      <c r="O1" s="2">
        <v>1.0520833333333299</v>
      </c>
      <c r="P1" s="2">
        <v>1.0625</v>
      </c>
      <c r="Q1" s="3">
        <v>1.0729166666666701</v>
      </c>
      <c r="R1" s="1">
        <v>1.0833333333333299</v>
      </c>
      <c r="S1" s="2">
        <v>1.09375</v>
      </c>
      <c r="T1" s="2">
        <v>1.1041666666666701</v>
      </c>
      <c r="U1" s="3">
        <v>1.1145833333333299</v>
      </c>
      <c r="V1" s="1">
        <v>1.125</v>
      </c>
      <c r="W1" s="2">
        <v>1.1354166666666701</v>
      </c>
      <c r="X1" s="2">
        <v>1.1458333333333299</v>
      </c>
      <c r="Y1" s="3">
        <v>1.15625</v>
      </c>
      <c r="Z1" s="1">
        <v>1.1666666666666701</v>
      </c>
      <c r="AA1" s="2">
        <v>1.1770833333333399</v>
      </c>
      <c r="AB1" s="2">
        <v>1.1875</v>
      </c>
      <c r="AC1" s="3">
        <v>1.1979166666666701</v>
      </c>
      <c r="AD1" s="1">
        <v>1.2083333333333399</v>
      </c>
      <c r="AE1" s="2">
        <v>1.21875</v>
      </c>
      <c r="AF1" s="2">
        <v>1.2291666666666701</v>
      </c>
      <c r="AG1" s="3">
        <v>1.2395833333333399</v>
      </c>
      <c r="AH1" s="1">
        <v>1.25</v>
      </c>
      <c r="AI1" s="2">
        <v>1.2604166666666701</v>
      </c>
      <c r="AJ1" s="2">
        <v>1.2708333333333399</v>
      </c>
      <c r="AK1" s="3">
        <v>1.28125</v>
      </c>
      <c r="AL1" s="1">
        <v>1.2916666666666701</v>
      </c>
      <c r="AM1" s="2">
        <v>1.3020833333333399</v>
      </c>
      <c r="AN1" s="2">
        <v>1.3125</v>
      </c>
      <c r="AO1" s="3">
        <v>1.3229166666666701</v>
      </c>
      <c r="AP1" s="1">
        <v>1.3333333333333399</v>
      </c>
      <c r="AQ1" s="2">
        <v>1.34375</v>
      </c>
      <c r="AR1" s="2">
        <v>1.3541666666666701</v>
      </c>
      <c r="AS1" s="3">
        <v>1.3645833333333399</v>
      </c>
      <c r="AT1" s="1">
        <v>1.375</v>
      </c>
      <c r="AU1" s="2">
        <v>1.3854166666666701</v>
      </c>
      <c r="AV1" s="2">
        <v>1.3958333333333399</v>
      </c>
      <c r="AW1" s="3">
        <v>1.40625</v>
      </c>
    </row>
    <row r="2" spans="1:50" ht="15.75" thickBot="1" x14ac:dyDescent="0.3">
      <c r="A2" s="37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9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28</v>
      </c>
      <c r="H3" s="18" t="s">
        <v>28</v>
      </c>
      <c r="I3" s="18" t="s">
        <v>2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</v>
      </c>
      <c r="AG3" s="18" t="s">
        <v>2</v>
      </c>
      <c r="AH3" s="18" t="s">
        <v>28</v>
      </c>
      <c r="AI3" s="18" t="s">
        <v>28</v>
      </c>
      <c r="AJ3" s="18" t="s">
        <v>28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30</v>
      </c>
      <c r="I5" s="19" t="s">
        <v>30</v>
      </c>
      <c r="J5" s="19" t="s">
        <v>2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30</v>
      </c>
      <c r="AC5" s="19" t="s">
        <v>30</v>
      </c>
      <c r="AD5" s="19" t="s">
        <v>2</v>
      </c>
      <c r="AE5" s="19" t="s">
        <v>2</v>
      </c>
      <c r="AF5" s="19" t="s">
        <v>28</v>
      </c>
      <c r="AG5" s="19" t="s">
        <v>28</v>
      </c>
      <c r="AH5" s="19" t="s">
        <v>30</v>
      </c>
      <c r="AI5" s="19" t="s">
        <v>30</v>
      </c>
      <c r="AJ5" s="19" t="s">
        <v>30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15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31</v>
      </c>
      <c r="H6" s="19" t="s">
        <v>31</v>
      </c>
      <c r="I6" s="19" t="s">
        <v>2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31</v>
      </c>
      <c r="AC6" s="19" t="s">
        <v>31</v>
      </c>
      <c r="AD6" s="19" t="s">
        <v>2</v>
      </c>
      <c r="AE6" s="19" t="s">
        <v>2</v>
      </c>
      <c r="AF6" s="19" t="s">
        <v>29</v>
      </c>
      <c r="AG6" s="19" t="s">
        <v>29</v>
      </c>
      <c r="AH6" s="19" t="s">
        <v>31</v>
      </c>
      <c r="AI6" s="19" t="s">
        <v>31</v>
      </c>
      <c r="AJ6" s="19" t="s">
        <v>31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15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32</v>
      </c>
      <c r="I7" s="19" t="s">
        <v>32</v>
      </c>
      <c r="J7" s="19" t="s">
        <v>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</v>
      </c>
      <c r="AG7" s="19" t="s">
        <v>2</v>
      </c>
      <c r="AH7" s="19" t="s">
        <v>32</v>
      </c>
      <c r="AI7" s="19" t="s">
        <v>32</v>
      </c>
      <c r="AJ7" s="19" t="s">
        <v>32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33</v>
      </c>
      <c r="AI8" s="26" t="s">
        <v>33</v>
      </c>
      <c r="AJ8" s="26" t="s">
        <v>33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40" t="s">
        <v>22</v>
      </c>
      <c r="B9" s="30">
        <f>SUM(COUNTIF(B3:B8,"=AL*"))</f>
        <v>6</v>
      </c>
      <c r="C9" s="30">
        <f t="shared" ref="C9:AW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6</v>
      </c>
      <c r="H9" s="30">
        <f t="shared" si="1"/>
        <v>6</v>
      </c>
      <c r="I9" s="30">
        <f t="shared" si="1"/>
        <v>4</v>
      </c>
      <c r="J9" s="30">
        <f t="shared" si="1"/>
        <v>4</v>
      </c>
      <c r="K9" s="30">
        <f t="shared" si="1"/>
        <v>4</v>
      </c>
      <c r="L9" s="30">
        <f t="shared" si="1"/>
        <v>4</v>
      </c>
      <c r="M9" s="30">
        <f t="shared" si="1"/>
        <v>4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1"/>
        <v>4</v>
      </c>
      <c r="AA9" s="30">
        <f t="shared" si="1"/>
        <v>4</v>
      </c>
      <c r="AB9" s="30">
        <f t="shared" si="1"/>
        <v>4</v>
      </c>
      <c r="AC9" s="30">
        <f t="shared" si="1"/>
        <v>4</v>
      </c>
      <c r="AD9" s="30">
        <f t="shared" si="1"/>
        <v>2</v>
      </c>
      <c r="AE9" s="30">
        <f t="shared" si="1"/>
        <v>2</v>
      </c>
      <c r="AF9" s="30">
        <f t="shared" si="1"/>
        <v>2</v>
      </c>
      <c r="AG9" s="30">
        <f t="shared" si="1"/>
        <v>2</v>
      </c>
      <c r="AH9" s="30">
        <f t="shared" si="1"/>
        <v>6</v>
      </c>
      <c r="AI9" s="30">
        <f t="shared" si="1"/>
        <v>6</v>
      </c>
      <c r="AJ9" s="30">
        <f t="shared" si="1"/>
        <v>6</v>
      </c>
      <c r="AK9" s="30">
        <f t="shared" si="1"/>
        <v>6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0">
        <f t="shared" si="1"/>
        <v>6</v>
      </c>
    </row>
    <row r="10" spans="1:50" ht="15.75" thickBot="1" x14ac:dyDescent="0.3">
      <c r="A10" s="40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0">
        <f t="shared" si="2"/>
        <v>0</v>
      </c>
    </row>
    <row r="11" spans="1:50" ht="15.75" thickBot="1" x14ac:dyDescent="0.3">
      <c r="A11" s="40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6</v>
      </c>
      <c r="H11" s="28" t="str">
        <f t="shared" si="3"/>
        <v>6</v>
      </c>
      <c r="I11" s="28" t="str">
        <f t="shared" si="3"/>
        <v>4</v>
      </c>
      <c r="J11" s="28" t="str">
        <f t="shared" si="3"/>
        <v>4</v>
      </c>
      <c r="K11" s="28" t="str">
        <f t="shared" si="3"/>
        <v>4</v>
      </c>
      <c r="L11" s="28" t="str">
        <f t="shared" si="3"/>
        <v>4</v>
      </c>
      <c r="M11" s="28" t="str">
        <f t="shared" si="3"/>
        <v>4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2</v>
      </c>
      <c r="W11" s="28" t="str">
        <f t="shared" si="3"/>
        <v>2</v>
      </c>
      <c r="X11" s="28" t="str">
        <f t="shared" si="3"/>
        <v>4</v>
      </c>
      <c r="Y11" s="28" t="str">
        <f t="shared" si="3"/>
        <v>4</v>
      </c>
      <c r="Z11" s="28" t="str">
        <f t="shared" si="3"/>
        <v>4</v>
      </c>
      <c r="AA11" s="28" t="str">
        <f t="shared" si="3"/>
        <v>4</v>
      </c>
      <c r="AB11" s="28" t="str">
        <f t="shared" si="3"/>
        <v>4</v>
      </c>
      <c r="AC11" s="28" t="str">
        <f t="shared" si="3"/>
        <v>4</v>
      </c>
      <c r="AD11" s="28" t="str">
        <f t="shared" si="3"/>
        <v>2</v>
      </c>
      <c r="AE11" s="28" t="str">
        <f t="shared" si="3"/>
        <v>2</v>
      </c>
      <c r="AF11" s="28" t="str">
        <f t="shared" si="3"/>
        <v>2</v>
      </c>
      <c r="AG11" s="28" t="str">
        <f t="shared" si="3"/>
        <v>2</v>
      </c>
      <c r="AH11" s="28" t="str">
        <f t="shared" si="3"/>
        <v>6</v>
      </c>
      <c r="AI11" s="28" t="str">
        <f t="shared" si="3"/>
        <v>6</v>
      </c>
      <c r="AJ11" s="28" t="str">
        <f t="shared" si="3"/>
        <v>6</v>
      </c>
      <c r="AK11" s="28" t="str">
        <f t="shared" si="3"/>
        <v>6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8" t="str">
        <f t="shared" si="3"/>
        <v>6</v>
      </c>
    </row>
    <row r="12" spans="1:50" ht="15.75" thickBot="1" x14ac:dyDescent="0.3">
      <c r="A12" s="37" t="s">
        <v>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9"/>
    </row>
    <row r="13" spans="1:50" ht="15.75" thickBot="1" x14ac:dyDescent="0.3">
      <c r="A13" s="7" t="s">
        <v>4</v>
      </c>
      <c r="B13" s="21"/>
      <c r="C13" s="18"/>
      <c r="D13" s="18"/>
      <c r="E13" s="18"/>
      <c r="F13" s="18"/>
      <c r="G13" s="18"/>
      <c r="H13" s="18"/>
      <c r="I13" s="18" t="s">
        <v>28</v>
      </c>
      <c r="J13" s="18" t="s">
        <v>30</v>
      </c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7" t="s">
        <v>4</v>
      </c>
      <c r="B14" s="23"/>
      <c r="C14" s="19"/>
      <c r="D14" s="19"/>
      <c r="E14" s="19"/>
      <c r="F14" s="19"/>
      <c r="G14" s="19"/>
      <c r="H14" s="19"/>
      <c r="I14" s="19" t="s">
        <v>31</v>
      </c>
      <c r="J14" s="19" t="s">
        <v>32</v>
      </c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40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0</v>
      </c>
      <c r="H19" s="30">
        <f t="shared" si="4"/>
        <v>0</v>
      </c>
      <c r="I19" s="30">
        <f t="shared" si="4"/>
        <v>2</v>
      </c>
      <c r="J19" s="30">
        <f t="shared" si="4"/>
        <v>2</v>
      </c>
      <c r="K19" s="30">
        <f t="shared" si="4"/>
        <v>2</v>
      </c>
      <c r="L19" s="30">
        <f t="shared" si="4"/>
        <v>2</v>
      </c>
      <c r="M19" s="30">
        <f t="shared" si="4"/>
        <v>2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40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40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0</v>
      </c>
      <c r="H21" s="28" t="str">
        <f t="shared" si="6"/>
        <v>0</v>
      </c>
      <c r="I21" s="28" t="str">
        <f t="shared" si="6"/>
        <v>2</v>
      </c>
      <c r="J21" s="28" t="str">
        <f t="shared" si="6"/>
        <v>2</v>
      </c>
      <c r="K21" s="28" t="str">
        <f t="shared" si="6"/>
        <v>2</v>
      </c>
      <c r="L21" s="28" t="str">
        <f t="shared" si="6"/>
        <v>2</v>
      </c>
      <c r="M21" s="28" t="str">
        <f t="shared" si="6"/>
        <v>2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40" t="s">
        <v>24</v>
      </c>
      <c r="B22" s="33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2</v>
      </c>
      <c r="AG22" s="33" t="str">
        <f t="shared" si="7"/>
        <v>2</v>
      </c>
      <c r="AH22" s="33" t="str">
        <f t="shared" si="7"/>
        <v>6</v>
      </c>
      <c r="AI22" s="33" t="str">
        <f t="shared" si="7"/>
        <v>6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B3:AW10 B13:AW20">
    <cfRule type="cellIs" dxfId="139" priority="1" operator="equal">
      <formula>"AL1"</formula>
    </cfRule>
    <cfRule type="cellIs" dxfId="138" priority="2" operator="equal">
      <formula>"Acar1"</formula>
    </cfRule>
    <cfRule type="cellIs" dxfId="137" priority="3" operator="equal">
      <formula>"AL2"</formula>
    </cfRule>
    <cfRule type="cellIs" dxfId="136" priority="4" operator="equal">
      <formula>"Acar2"</formula>
    </cfRule>
    <cfRule type="cellIs" dxfId="135" priority="5" operator="equal">
      <formula>"AL3"</formula>
    </cfRule>
    <cfRule type="cellIs" dxfId="134" priority="6" operator="equal">
      <formula>"Acar3"</formula>
    </cfRule>
    <cfRule type="cellIs" dxfId="133" priority="7" operator="equal">
      <formula>"AL4"</formula>
    </cfRule>
    <cfRule type="cellIs" dxfId="132" priority="8" operator="equal">
      <formula>"Acar4"</formula>
    </cfRule>
    <cfRule type="cellIs" dxfId="131" priority="9" operator="equal">
      <formula>"AL5"</formula>
    </cfRule>
    <cfRule type="cellIs" dxfId="130" priority="10" operator="equal">
      <formula>"Acar5"</formula>
    </cfRule>
    <cfRule type="cellIs" dxfId="129" priority="11" operator="equal">
      <formula>"AL6"</formula>
    </cfRule>
    <cfRule type="cellIs" dxfId="128" priority="12" operator="equal">
      <formula>"Acar6"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FEA0D7-A73D-4421-BA5B-2F9A5E5D6467}">
          <x14:formula1>
            <xm:f>List!$F$2:$F$19</xm:f>
          </x14:formula1>
          <xm:sqref>B3:AW8 B13:AW18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89F4-A2C8-444D-AFB1-46F8F3F6D0FC}">
  <sheetPr>
    <pageSetUpPr fitToPage="1"/>
  </sheetPr>
  <dimension ref="A1:AX22"/>
  <sheetViews>
    <sheetView zoomScale="80" zoomScaleNormal="80" workbookViewId="0">
      <selection activeCell="B3" sqref="B3:AW8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5" t="s">
        <v>0</v>
      </c>
      <c r="B1" s="41">
        <v>0.91666666666666663</v>
      </c>
      <c r="C1" s="42">
        <v>0.92708333333333337</v>
      </c>
      <c r="D1" s="42">
        <v>0.9375</v>
      </c>
      <c r="E1" s="43">
        <v>0.94791666666666663</v>
      </c>
      <c r="F1" s="41">
        <v>0.95833333333333404</v>
      </c>
      <c r="G1" s="42">
        <v>0.96875</v>
      </c>
      <c r="H1" s="42">
        <v>0.97916666666666696</v>
      </c>
      <c r="I1" s="43">
        <v>0.98958333333333404</v>
      </c>
      <c r="J1" s="41">
        <v>1</v>
      </c>
      <c r="K1" s="42">
        <v>1.0104166666666701</v>
      </c>
      <c r="L1" s="42">
        <v>1.0208333333333299</v>
      </c>
      <c r="M1" s="43">
        <v>1.03125</v>
      </c>
      <c r="N1" s="41">
        <v>1.0416666666666701</v>
      </c>
      <c r="O1" s="42">
        <v>1.0520833333333299</v>
      </c>
      <c r="P1" s="42">
        <v>1.0625</v>
      </c>
      <c r="Q1" s="43">
        <v>1.0729166666666701</v>
      </c>
      <c r="R1" s="41">
        <v>1.0833333333333299</v>
      </c>
      <c r="S1" s="42">
        <v>1.09375</v>
      </c>
      <c r="T1" s="42">
        <v>1.1041666666666701</v>
      </c>
      <c r="U1" s="43">
        <v>1.1145833333333299</v>
      </c>
      <c r="V1" s="41">
        <v>1.125</v>
      </c>
      <c r="W1" s="42">
        <v>1.1354166666666701</v>
      </c>
      <c r="X1" s="42">
        <v>1.1458333333333299</v>
      </c>
      <c r="Y1" s="43">
        <v>1.15625</v>
      </c>
      <c r="Z1" s="41">
        <v>1.1666666666666701</v>
      </c>
      <c r="AA1" s="42">
        <v>1.1770833333333399</v>
      </c>
      <c r="AB1" s="42">
        <v>1.1875</v>
      </c>
      <c r="AC1" s="43">
        <v>1.1979166666666701</v>
      </c>
      <c r="AD1" s="41">
        <v>1.2083333333333399</v>
      </c>
      <c r="AE1" s="42">
        <v>1.21875</v>
      </c>
      <c r="AF1" s="42">
        <v>1.2291666666666701</v>
      </c>
      <c r="AG1" s="43">
        <v>1.2395833333333399</v>
      </c>
      <c r="AH1" s="41">
        <v>1.25</v>
      </c>
      <c r="AI1" s="42">
        <v>1.2604166666666701</v>
      </c>
      <c r="AJ1" s="42">
        <v>1.2708333333333399</v>
      </c>
      <c r="AK1" s="43">
        <v>1.28125</v>
      </c>
      <c r="AL1" s="41">
        <v>1.2916666666666701</v>
      </c>
      <c r="AM1" s="42">
        <v>1.3020833333333399</v>
      </c>
      <c r="AN1" s="42">
        <v>1.3125</v>
      </c>
      <c r="AO1" s="43">
        <v>1.3229166666666701</v>
      </c>
      <c r="AP1" s="41">
        <v>1.3333333333333399</v>
      </c>
      <c r="AQ1" s="42">
        <v>1.34375</v>
      </c>
      <c r="AR1" s="42">
        <v>1.3541666666666701</v>
      </c>
      <c r="AS1" s="43">
        <v>1.3645833333333399</v>
      </c>
      <c r="AT1" s="41">
        <v>1.375</v>
      </c>
      <c r="AU1" s="42">
        <v>1.3854166666666701</v>
      </c>
      <c r="AV1" s="42">
        <v>1.3958333333333399</v>
      </c>
      <c r="AW1" s="43">
        <v>1.40625</v>
      </c>
    </row>
    <row r="2" spans="1:50" ht="15.75" thickBot="1" x14ac:dyDescent="0.3">
      <c r="A2" s="37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9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28</v>
      </c>
      <c r="AG3" s="18" t="s">
        <v>28</v>
      </c>
      <c r="AH3" s="18" t="s">
        <v>2</v>
      </c>
      <c r="AI3" s="18" t="s">
        <v>2</v>
      </c>
      <c r="AJ3" s="18" t="s">
        <v>28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2</v>
      </c>
      <c r="I5" s="19" t="s">
        <v>30</v>
      </c>
      <c r="J5" s="19" t="s">
        <v>30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30</v>
      </c>
      <c r="AC5" s="19" t="s">
        <v>30</v>
      </c>
      <c r="AD5" s="19" t="s">
        <v>2</v>
      </c>
      <c r="AE5" s="19" t="s">
        <v>2</v>
      </c>
      <c r="AF5" s="19" t="s">
        <v>30</v>
      </c>
      <c r="AG5" s="19" t="s">
        <v>30</v>
      </c>
      <c r="AH5" s="19" t="s">
        <v>30</v>
      </c>
      <c r="AI5" s="19" t="s">
        <v>30</v>
      </c>
      <c r="AJ5" s="19" t="s">
        <v>30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15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2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31</v>
      </c>
      <c r="AC6" s="19" t="s">
        <v>31</v>
      </c>
      <c r="AD6" s="19" t="s">
        <v>2</v>
      </c>
      <c r="AE6" s="19" t="s">
        <v>2</v>
      </c>
      <c r="AF6" s="19" t="s">
        <v>31</v>
      </c>
      <c r="AG6" s="19" t="s">
        <v>31</v>
      </c>
      <c r="AH6" s="19" t="s">
        <v>31</v>
      </c>
      <c r="AI6" s="19" t="s">
        <v>31</v>
      </c>
      <c r="AJ6" s="19" t="s">
        <v>31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15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</v>
      </c>
      <c r="AI7" s="19" t="s">
        <v>2</v>
      </c>
      <c r="AJ7" s="19" t="s">
        <v>32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28</v>
      </c>
      <c r="AI8" s="26" t="s">
        <v>28</v>
      </c>
      <c r="AJ8" s="26" t="s">
        <v>33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40" t="s">
        <v>22</v>
      </c>
      <c r="B9" s="30">
        <f>SUM(COUNTIF(B3:B8,"=AL*"))</f>
        <v>6</v>
      </c>
      <c r="C9" s="30">
        <f t="shared" ref="C9:AV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4</v>
      </c>
      <c r="H9" s="30">
        <f t="shared" si="1"/>
        <v>4</v>
      </c>
      <c r="I9" s="30">
        <f t="shared" si="1"/>
        <v>6</v>
      </c>
      <c r="J9" s="30">
        <f t="shared" si="1"/>
        <v>6</v>
      </c>
      <c r="K9" s="30">
        <f t="shared" si="1"/>
        <v>4</v>
      </c>
      <c r="L9" s="30">
        <f t="shared" si="1"/>
        <v>4</v>
      </c>
      <c r="M9" s="30">
        <f t="shared" si="1"/>
        <v>4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1"/>
        <v>4</v>
      </c>
      <c r="AA9" s="30">
        <f t="shared" si="1"/>
        <v>4</v>
      </c>
      <c r="AB9" s="30">
        <f t="shared" si="1"/>
        <v>4</v>
      </c>
      <c r="AC9" s="30">
        <f t="shared" si="1"/>
        <v>4</v>
      </c>
      <c r="AD9" s="30">
        <f t="shared" si="1"/>
        <v>2</v>
      </c>
      <c r="AE9" s="30">
        <f t="shared" si="1"/>
        <v>2</v>
      </c>
      <c r="AF9" s="30">
        <f t="shared" si="1"/>
        <v>4</v>
      </c>
      <c r="AG9" s="30">
        <f t="shared" si="1"/>
        <v>4</v>
      </c>
      <c r="AH9" s="30">
        <f t="shared" si="1"/>
        <v>4</v>
      </c>
      <c r="AI9" s="30">
        <f t="shared" si="1"/>
        <v>4</v>
      </c>
      <c r="AJ9" s="30">
        <f t="shared" si="1"/>
        <v>6</v>
      </c>
      <c r="AK9" s="30">
        <f t="shared" si="1"/>
        <v>6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1">
        <f>SUM(COUNTIF(AW3:AW8,"=AL*"))</f>
        <v>6</v>
      </c>
    </row>
    <row r="10" spans="1:50" ht="15.75" thickBot="1" x14ac:dyDescent="0.3">
      <c r="A10" s="40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1">
        <f t="shared" si="2"/>
        <v>0</v>
      </c>
    </row>
    <row r="11" spans="1:50" ht="15.75" thickBot="1" x14ac:dyDescent="0.3">
      <c r="A11" s="40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4</v>
      </c>
      <c r="H11" s="28" t="str">
        <f t="shared" si="3"/>
        <v>4</v>
      </c>
      <c r="I11" s="28" t="str">
        <f t="shared" si="3"/>
        <v>6</v>
      </c>
      <c r="J11" s="28" t="str">
        <f t="shared" si="3"/>
        <v>6</v>
      </c>
      <c r="K11" s="28" t="str">
        <f t="shared" si="3"/>
        <v>4</v>
      </c>
      <c r="L11" s="28" t="str">
        <f t="shared" si="3"/>
        <v>4</v>
      </c>
      <c r="M11" s="28" t="str">
        <f t="shared" si="3"/>
        <v>4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2</v>
      </c>
      <c r="W11" s="28" t="str">
        <f t="shared" si="3"/>
        <v>2</v>
      </c>
      <c r="X11" s="28" t="str">
        <f t="shared" si="3"/>
        <v>4</v>
      </c>
      <c r="Y11" s="28" t="str">
        <f t="shared" si="3"/>
        <v>4</v>
      </c>
      <c r="Z11" s="28" t="str">
        <f t="shared" si="3"/>
        <v>4</v>
      </c>
      <c r="AA11" s="28" t="str">
        <f t="shared" si="3"/>
        <v>4</v>
      </c>
      <c r="AB11" s="28" t="str">
        <f t="shared" si="3"/>
        <v>4</v>
      </c>
      <c r="AC11" s="28" t="str">
        <f t="shared" si="3"/>
        <v>4</v>
      </c>
      <c r="AD11" s="28" t="str">
        <f t="shared" si="3"/>
        <v>2</v>
      </c>
      <c r="AE11" s="28" t="str">
        <f t="shared" si="3"/>
        <v>2</v>
      </c>
      <c r="AF11" s="28" t="str">
        <f t="shared" si="3"/>
        <v>4</v>
      </c>
      <c r="AG11" s="28" t="str">
        <f t="shared" si="3"/>
        <v>4</v>
      </c>
      <c r="AH11" s="28" t="str">
        <f t="shared" si="3"/>
        <v>4</v>
      </c>
      <c r="AI11" s="28" t="str">
        <f t="shared" si="3"/>
        <v>4</v>
      </c>
      <c r="AJ11" s="28" t="str">
        <f t="shared" si="3"/>
        <v>6</v>
      </c>
      <c r="AK11" s="28" t="str">
        <f t="shared" si="3"/>
        <v>6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9" t="str">
        <f t="shared" si="3"/>
        <v>6</v>
      </c>
    </row>
    <row r="12" spans="1:50" ht="15.75" thickBot="1" x14ac:dyDescent="0.3">
      <c r="A12" s="37" t="s">
        <v>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9"/>
    </row>
    <row r="13" spans="1:50" ht="15.75" thickBot="1" x14ac:dyDescent="0.3">
      <c r="A13" s="7" t="s">
        <v>4</v>
      </c>
      <c r="B13" s="21"/>
      <c r="C13" s="18"/>
      <c r="D13" s="18"/>
      <c r="E13" s="18"/>
      <c r="F13" s="18"/>
      <c r="G13" s="18" t="s">
        <v>28</v>
      </c>
      <c r="H13" s="18" t="s">
        <v>30</v>
      </c>
      <c r="I13" s="18"/>
      <c r="J13" s="18"/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7" t="s">
        <v>4</v>
      </c>
      <c r="B14" s="23"/>
      <c r="C14" s="19"/>
      <c r="D14" s="19"/>
      <c r="E14" s="19"/>
      <c r="F14" s="19"/>
      <c r="G14" s="19" t="s">
        <v>31</v>
      </c>
      <c r="H14" s="19" t="s">
        <v>32</v>
      </c>
      <c r="I14" s="19"/>
      <c r="J14" s="19"/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40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2</v>
      </c>
      <c r="H19" s="30">
        <f t="shared" si="4"/>
        <v>2</v>
      </c>
      <c r="I19" s="30">
        <f t="shared" si="4"/>
        <v>0</v>
      </c>
      <c r="J19" s="30">
        <f t="shared" si="4"/>
        <v>0</v>
      </c>
      <c r="K19" s="30">
        <f t="shared" si="4"/>
        <v>2</v>
      </c>
      <c r="L19" s="30">
        <f t="shared" si="4"/>
        <v>2</v>
      </c>
      <c r="M19" s="30">
        <f t="shared" si="4"/>
        <v>2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40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40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2</v>
      </c>
      <c r="H21" s="28" t="str">
        <f t="shared" si="6"/>
        <v>2</v>
      </c>
      <c r="I21" s="28" t="str">
        <f t="shared" si="6"/>
        <v>0</v>
      </c>
      <c r="J21" s="28" t="str">
        <f t="shared" si="6"/>
        <v>0</v>
      </c>
      <c r="K21" s="28" t="str">
        <f t="shared" si="6"/>
        <v>2</v>
      </c>
      <c r="L21" s="28" t="str">
        <f t="shared" si="6"/>
        <v>2</v>
      </c>
      <c r="M21" s="28" t="str">
        <f t="shared" si="6"/>
        <v>2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35" t="s">
        <v>24</v>
      </c>
      <c r="B22" s="32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4</v>
      </c>
      <c r="AG22" s="33" t="str">
        <f t="shared" si="7"/>
        <v>4</v>
      </c>
      <c r="AH22" s="33" t="str">
        <f t="shared" si="7"/>
        <v>4</v>
      </c>
      <c r="AI22" s="33" t="str">
        <f t="shared" si="7"/>
        <v>4</v>
      </c>
      <c r="AJ22" s="33" t="str">
        <f t="shared" si="7"/>
        <v>6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127" priority="62">
      <formula>#REF!&gt;=$B$1</formula>
    </cfRule>
  </conditionalFormatting>
  <conditionalFormatting sqref="B13:AW18">
    <cfRule type="cellIs" dxfId="126" priority="38" operator="equal">
      <formula>"Dcar1"</formula>
    </cfRule>
  </conditionalFormatting>
  <conditionalFormatting sqref="B9:AW10 B13:AW20">
    <cfRule type="cellIs" dxfId="125" priority="37" operator="equal">
      <formula>"DL1"</formula>
    </cfRule>
    <cfRule type="cellIs" dxfId="124" priority="39" operator="equal">
      <formula>"DL2"</formula>
    </cfRule>
    <cfRule type="cellIs" dxfId="123" priority="40" operator="equal">
      <formula>"Dcar2"</formula>
    </cfRule>
    <cfRule type="cellIs" dxfId="122" priority="41" operator="equal">
      <formula>"DL3"</formula>
    </cfRule>
    <cfRule type="cellIs" dxfId="121" priority="42" operator="equal">
      <formula>"Dcar3"</formula>
    </cfRule>
    <cfRule type="cellIs" dxfId="120" priority="43" operator="equal">
      <formula>"DL4"</formula>
    </cfRule>
    <cfRule type="cellIs" dxfId="119" priority="44" operator="equal">
      <formula>"Dcar4"</formula>
    </cfRule>
    <cfRule type="cellIs" dxfId="118" priority="45" operator="equal">
      <formula>"DL5"</formula>
    </cfRule>
    <cfRule type="cellIs" dxfId="117" priority="46" operator="equal">
      <formula>"Dcar5"</formula>
    </cfRule>
    <cfRule type="cellIs" dxfId="116" priority="47" operator="equal">
      <formula>"DL6"</formula>
    </cfRule>
    <cfRule type="cellIs" dxfId="115" priority="48" operator="equal">
      <formula>"Dcar6"</formula>
    </cfRule>
  </conditionalFormatting>
  <conditionalFormatting sqref="B9:AW10 B19:AW20">
    <cfRule type="cellIs" dxfId="114" priority="50" operator="equal">
      <formula>"Dcar1"</formula>
    </cfRule>
  </conditionalFormatting>
  <conditionalFormatting sqref="B3:AW10 B13:AW20">
    <cfRule type="cellIs" dxfId="113" priority="1" operator="equal">
      <formula>"AL1"</formula>
    </cfRule>
    <cfRule type="cellIs" dxfId="112" priority="2" operator="equal">
      <formula>"Acar1"</formula>
    </cfRule>
    <cfRule type="cellIs" dxfId="111" priority="3" operator="equal">
      <formula>"AL2"</formula>
    </cfRule>
    <cfRule type="cellIs" dxfId="110" priority="4" operator="equal">
      <formula>"Acar2"</formula>
    </cfRule>
    <cfRule type="cellIs" dxfId="109" priority="5" operator="equal">
      <formula>"AL3"</formula>
    </cfRule>
    <cfRule type="cellIs" dxfId="108" priority="6" operator="equal">
      <formula>"Acar3"</formula>
    </cfRule>
    <cfRule type="cellIs" dxfId="107" priority="7" operator="equal">
      <formula>"AL4"</formula>
    </cfRule>
    <cfRule type="cellIs" dxfId="106" priority="8" operator="equal">
      <formula>"Acar4"</formula>
    </cfRule>
    <cfRule type="cellIs" dxfId="105" priority="9" operator="equal">
      <formula>"AL5"</formula>
    </cfRule>
    <cfRule type="cellIs" dxfId="104" priority="10" operator="equal">
      <formula>"Acar5"</formula>
    </cfRule>
    <cfRule type="cellIs" dxfId="103" priority="11" operator="equal">
      <formula>"AL6"</formula>
    </cfRule>
    <cfRule type="cellIs" dxfId="102" priority="12" operator="equal">
      <formula>"Acar6"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9214A1-60D0-42D6-8FB3-7251DCC041E6}">
          <x14:formula1>
            <xm:f>List!$F$2:$F$19</xm:f>
          </x14:formula1>
          <xm:sqref>B13:AW18 B3:AW8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1421-148F-43DB-8B4F-CBFA1FF7232D}">
  <sheetPr>
    <pageSetUpPr fitToPage="1"/>
  </sheetPr>
  <dimension ref="A1:AX22"/>
  <sheetViews>
    <sheetView zoomScale="80" zoomScaleNormal="80" workbookViewId="0">
      <selection activeCell="B3" sqref="B3:AW8"/>
    </sheetView>
  </sheetViews>
  <sheetFormatPr defaultRowHeight="15" x14ac:dyDescent="0.25"/>
  <cols>
    <col min="1" max="1" width="11.42578125" bestFit="1" customWidth="1"/>
    <col min="2" max="49" width="5.7109375" customWidth="1"/>
  </cols>
  <sheetData>
    <row r="1" spans="1:50" ht="15.75" thickBot="1" x14ac:dyDescent="0.3">
      <c r="A1" s="35" t="s">
        <v>0</v>
      </c>
      <c r="B1" s="41">
        <v>0.91666666666666663</v>
      </c>
      <c r="C1" s="42">
        <v>0.92708333333333337</v>
      </c>
      <c r="D1" s="42">
        <v>0.9375</v>
      </c>
      <c r="E1" s="43">
        <v>0.94791666666666663</v>
      </c>
      <c r="F1" s="41">
        <v>0.95833333333333404</v>
      </c>
      <c r="G1" s="42">
        <v>0.96875</v>
      </c>
      <c r="H1" s="42">
        <v>0.97916666666666696</v>
      </c>
      <c r="I1" s="43">
        <v>0.98958333333333404</v>
      </c>
      <c r="J1" s="41">
        <v>1</v>
      </c>
      <c r="K1" s="42">
        <v>1.0104166666666701</v>
      </c>
      <c r="L1" s="42">
        <v>1.0208333333333299</v>
      </c>
      <c r="M1" s="43">
        <v>1.03125</v>
      </c>
      <c r="N1" s="41">
        <v>1.0416666666666701</v>
      </c>
      <c r="O1" s="42">
        <v>1.0520833333333299</v>
      </c>
      <c r="P1" s="42">
        <v>1.0625</v>
      </c>
      <c r="Q1" s="43">
        <v>1.0729166666666701</v>
      </c>
      <c r="R1" s="41">
        <v>1.0833333333333299</v>
      </c>
      <c r="S1" s="42">
        <v>1.09375</v>
      </c>
      <c r="T1" s="42">
        <v>1.1041666666666701</v>
      </c>
      <c r="U1" s="43">
        <v>1.1145833333333299</v>
      </c>
      <c r="V1" s="41">
        <v>1.125</v>
      </c>
      <c r="W1" s="42">
        <v>1.1354166666666701</v>
      </c>
      <c r="X1" s="42">
        <v>1.1458333333333299</v>
      </c>
      <c r="Y1" s="43">
        <v>1.15625</v>
      </c>
      <c r="Z1" s="41">
        <v>1.1666666666666701</v>
      </c>
      <c r="AA1" s="42">
        <v>1.1770833333333399</v>
      </c>
      <c r="AB1" s="42">
        <v>1.1875</v>
      </c>
      <c r="AC1" s="43">
        <v>1.1979166666666701</v>
      </c>
      <c r="AD1" s="41">
        <v>1.2083333333333399</v>
      </c>
      <c r="AE1" s="42">
        <v>1.21875</v>
      </c>
      <c r="AF1" s="42">
        <v>1.2291666666666701</v>
      </c>
      <c r="AG1" s="43">
        <v>1.2395833333333399</v>
      </c>
      <c r="AH1" s="41">
        <v>1.25</v>
      </c>
      <c r="AI1" s="42">
        <v>1.2604166666666701</v>
      </c>
      <c r="AJ1" s="42">
        <v>1.2708333333333399</v>
      </c>
      <c r="AK1" s="43">
        <v>1.28125</v>
      </c>
      <c r="AL1" s="41">
        <v>1.2916666666666701</v>
      </c>
      <c r="AM1" s="42">
        <v>1.3020833333333399</v>
      </c>
      <c r="AN1" s="42">
        <v>1.3125</v>
      </c>
      <c r="AO1" s="43">
        <v>1.3229166666666701</v>
      </c>
      <c r="AP1" s="41">
        <v>1.3333333333333399</v>
      </c>
      <c r="AQ1" s="42">
        <v>1.34375</v>
      </c>
      <c r="AR1" s="42">
        <v>1.3541666666666701</v>
      </c>
      <c r="AS1" s="43">
        <v>1.3645833333333399</v>
      </c>
      <c r="AT1" s="41">
        <v>1.375</v>
      </c>
      <c r="AU1" s="42">
        <v>1.3854166666666701</v>
      </c>
      <c r="AV1" s="42">
        <v>1.3958333333333399</v>
      </c>
      <c r="AW1" s="43">
        <v>1.40625</v>
      </c>
    </row>
    <row r="2" spans="1:50" ht="15.75" thickBot="1" x14ac:dyDescent="0.3">
      <c r="A2" s="37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9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28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28</v>
      </c>
      <c r="AG3" s="18" t="s">
        <v>28</v>
      </c>
      <c r="AH3" s="18" t="s">
        <v>2</v>
      </c>
      <c r="AI3" s="18" t="s">
        <v>2</v>
      </c>
      <c r="AJ3" s="18" t="s">
        <v>2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30</v>
      </c>
      <c r="I5" s="19" t="s">
        <v>30</v>
      </c>
      <c r="J5" s="19" t="s">
        <v>30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30</v>
      </c>
      <c r="AC5" s="19" t="s">
        <v>30</v>
      </c>
      <c r="AD5" s="19" t="s">
        <v>2</v>
      </c>
      <c r="AE5" s="19" t="s">
        <v>2</v>
      </c>
      <c r="AF5" s="19" t="s">
        <v>30</v>
      </c>
      <c r="AG5" s="19" t="s">
        <v>30</v>
      </c>
      <c r="AH5" s="19" t="s">
        <v>30</v>
      </c>
      <c r="AI5" s="19" t="s">
        <v>30</v>
      </c>
      <c r="AJ5" s="19" t="s">
        <v>2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15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31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31</v>
      </c>
      <c r="AC6" s="19" t="s">
        <v>31</v>
      </c>
      <c r="AD6" s="19" t="s">
        <v>2</v>
      </c>
      <c r="AE6" s="19" t="s">
        <v>2</v>
      </c>
      <c r="AF6" s="19" t="s">
        <v>31</v>
      </c>
      <c r="AG6" s="19" t="s">
        <v>31</v>
      </c>
      <c r="AH6" s="19" t="s">
        <v>31</v>
      </c>
      <c r="AI6" s="19" t="s">
        <v>31</v>
      </c>
      <c r="AJ6" s="19" t="s">
        <v>2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15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32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</v>
      </c>
      <c r="AI7" s="19" t="s">
        <v>2</v>
      </c>
      <c r="AJ7" s="19" t="s">
        <v>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28</v>
      </c>
      <c r="AI8" s="26" t="s">
        <v>28</v>
      </c>
      <c r="AJ8" s="26" t="s">
        <v>28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40" t="s">
        <v>22</v>
      </c>
      <c r="B9" s="30">
        <f>SUM(COUNTIF(B3:B8,"=AL*"))</f>
        <v>6</v>
      </c>
      <c r="C9" s="30">
        <f t="shared" ref="C9:AW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6</v>
      </c>
      <c r="H9" s="30">
        <f t="shared" si="1"/>
        <v>6</v>
      </c>
      <c r="I9" s="30">
        <f t="shared" si="1"/>
        <v>6</v>
      </c>
      <c r="J9" s="30">
        <f t="shared" si="1"/>
        <v>6</v>
      </c>
      <c r="K9" s="30">
        <f t="shared" si="1"/>
        <v>4</v>
      </c>
      <c r="L9" s="30">
        <f t="shared" si="1"/>
        <v>4</v>
      </c>
      <c r="M9" s="30">
        <f t="shared" si="1"/>
        <v>4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1"/>
        <v>4</v>
      </c>
      <c r="AA9" s="30">
        <f t="shared" si="1"/>
        <v>4</v>
      </c>
      <c r="AB9" s="30">
        <f t="shared" si="1"/>
        <v>4</v>
      </c>
      <c r="AC9" s="30">
        <f t="shared" si="1"/>
        <v>4</v>
      </c>
      <c r="AD9" s="30">
        <f t="shared" si="1"/>
        <v>2</v>
      </c>
      <c r="AE9" s="30">
        <f t="shared" si="1"/>
        <v>2</v>
      </c>
      <c r="AF9" s="30">
        <f t="shared" si="1"/>
        <v>4</v>
      </c>
      <c r="AG9" s="30">
        <f t="shared" si="1"/>
        <v>4</v>
      </c>
      <c r="AH9" s="30">
        <f t="shared" si="1"/>
        <v>4</v>
      </c>
      <c r="AI9" s="30">
        <f t="shared" si="1"/>
        <v>4</v>
      </c>
      <c r="AJ9" s="30">
        <f t="shared" si="1"/>
        <v>2</v>
      </c>
      <c r="AK9" s="30">
        <f t="shared" si="1"/>
        <v>6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1">
        <f t="shared" si="1"/>
        <v>6</v>
      </c>
    </row>
    <row r="10" spans="1:50" ht="15.75" thickBot="1" x14ac:dyDescent="0.3">
      <c r="A10" s="40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1">
        <f t="shared" si="2"/>
        <v>0</v>
      </c>
    </row>
    <row r="11" spans="1:50" ht="15.75" thickBot="1" x14ac:dyDescent="0.3">
      <c r="A11" s="40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6</v>
      </c>
      <c r="H11" s="28" t="str">
        <f t="shared" si="3"/>
        <v>6</v>
      </c>
      <c r="I11" s="28" t="str">
        <f t="shared" si="3"/>
        <v>6</v>
      </c>
      <c r="J11" s="28" t="str">
        <f t="shared" si="3"/>
        <v>6</v>
      </c>
      <c r="K11" s="28" t="str">
        <f t="shared" si="3"/>
        <v>4</v>
      </c>
      <c r="L11" s="28" t="str">
        <f t="shared" si="3"/>
        <v>4</v>
      </c>
      <c r="M11" s="28" t="str">
        <f t="shared" si="3"/>
        <v>4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2</v>
      </c>
      <c r="W11" s="28" t="str">
        <f t="shared" si="3"/>
        <v>2</v>
      </c>
      <c r="X11" s="28" t="str">
        <f t="shared" si="3"/>
        <v>4</v>
      </c>
      <c r="Y11" s="28" t="str">
        <f t="shared" si="3"/>
        <v>4</v>
      </c>
      <c r="Z11" s="28" t="str">
        <f t="shared" si="3"/>
        <v>4</v>
      </c>
      <c r="AA11" s="28" t="str">
        <f t="shared" si="3"/>
        <v>4</v>
      </c>
      <c r="AB11" s="28" t="str">
        <f t="shared" si="3"/>
        <v>4</v>
      </c>
      <c r="AC11" s="28" t="str">
        <f t="shared" si="3"/>
        <v>4</v>
      </c>
      <c r="AD11" s="28" t="str">
        <f t="shared" si="3"/>
        <v>2</v>
      </c>
      <c r="AE11" s="28" t="str">
        <f t="shared" si="3"/>
        <v>2</v>
      </c>
      <c r="AF11" s="28" t="str">
        <f t="shared" si="3"/>
        <v>4</v>
      </c>
      <c r="AG11" s="28" t="str">
        <f t="shared" si="3"/>
        <v>4</v>
      </c>
      <c r="AH11" s="28" t="str">
        <f t="shared" si="3"/>
        <v>4</v>
      </c>
      <c r="AI11" s="28" t="str">
        <f t="shared" si="3"/>
        <v>4</v>
      </c>
      <c r="AJ11" s="28" t="str">
        <f t="shared" si="3"/>
        <v>2</v>
      </c>
      <c r="AK11" s="28" t="str">
        <f t="shared" si="3"/>
        <v>6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9" t="str">
        <f t="shared" si="3"/>
        <v>6</v>
      </c>
    </row>
    <row r="12" spans="1:50" ht="15.75" thickBot="1" x14ac:dyDescent="0.3">
      <c r="A12" s="37" t="s">
        <v>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9"/>
    </row>
    <row r="13" spans="1:50" ht="15.75" thickBot="1" x14ac:dyDescent="0.3">
      <c r="A13" s="7" t="s">
        <v>4</v>
      </c>
      <c r="B13" s="21"/>
      <c r="C13" s="18"/>
      <c r="D13" s="18"/>
      <c r="E13" s="18"/>
      <c r="F13" s="18"/>
      <c r="G13" s="18"/>
      <c r="H13" s="18"/>
      <c r="I13" s="18"/>
      <c r="J13" s="18"/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7" t="s">
        <v>4</v>
      </c>
      <c r="B14" s="23"/>
      <c r="C14" s="19"/>
      <c r="D14" s="19"/>
      <c r="E14" s="19"/>
      <c r="F14" s="19"/>
      <c r="G14" s="19"/>
      <c r="H14" s="19"/>
      <c r="I14" s="19"/>
      <c r="J14" s="19"/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40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0</v>
      </c>
      <c r="H19" s="30">
        <f t="shared" si="4"/>
        <v>0</v>
      </c>
      <c r="I19" s="30">
        <f t="shared" si="4"/>
        <v>0</v>
      </c>
      <c r="J19" s="30">
        <f t="shared" si="4"/>
        <v>0</v>
      </c>
      <c r="K19" s="30">
        <f t="shared" si="4"/>
        <v>2</v>
      </c>
      <c r="L19" s="30">
        <f t="shared" si="4"/>
        <v>2</v>
      </c>
      <c r="M19" s="30">
        <f t="shared" si="4"/>
        <v>2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40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40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0</v>
      </c>
      <c r="H21" s="28" t="str">
        <f t="shared" si="6"/>
        <v>0</v>
      </c>
      <c r="I21" s="28" t="str">
        <f t="shared" si="6"/>
        <v>0</v>
      </c>
      <c r="J21" s="28" t="str">
        <f t="shared" si="6"/>
        <v>0</v>
      </c>
      <c r="K21" s="28" t="str">
        <f t="shared" si="6"/>
        <v>2</v>
      </c>
      <c r="L21" s="28" t="str">
        <f t="shared" si="6"/>
        <v>2</v>
      </c>
      <c r="M21" s="28" t="str">
        <f t="shared" si="6"/>
        <v>2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35" t="s">
        <v>24</v>
      </c>
      <c r="B22" s="32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4</v>
      </c>
      <c r="AA22" s="33" t="str">
        <f t="shared" si="7"/>
        <v>4</v>
      </c>
      <c r="AB22" s="33" t="str">
        <f t="shared" si="7"/>
        <v>4</v>
      </c>
      <c r="AC22" s="33" t="str">
        <f t="shared" si="7"/>
        <v>4</v>
      </c>
      <c r="AD22" s="33" t="str">
        <f t="shared" si="7"/>
        <v>2</v>
      </c>
      <c r="AE22" s="33" t="str">
        <f t="shared" si="7"/>
        <v>2</v>
      </c>
      <c r="AF22" s="33" t="str">
        <f t="shared" si="7"/>
        <v>4</v>
      </c>
      <c r="AG22" s="33" t="str">
        <f t="shared" si="7"/>
        <v>4</v>
      </c>
      <c r="AH22" s="33" t="str">
        <f t="shared" si="7"/>
        <v>4</v>
      </c>
      <c r="AI22" s="33" t="str">
        <f t="shared" si="7"/>
        <v>4</v>
      </c>
      <c r="AJ22" s="33" t="str">
        <f t="shared" si="7"/>
        <v>2</v>
      </c>
      <c r="AK22" s="33" t="str">
        <f t="shared" si="7"/>
        <v>6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B3:AW10 B13:AW20">
    <cfRule type="cellIs" dxfId="101" priority="6" operator="equal">
      <formula>"AL1"</formula>
    </cfRule>
    <cfRule type="cellIs" dxfId="100" priority="7" operator="equal">
      <formula>"Acar1"</formula>
    </cfRule>
    <cfRule type="cellIs" dxfId="99" priority="8" operator="equal">
      <formula>"AL2"</formula>
    </cfRule>
    <cfRule type="cellIs" dxfId="98" priority="9" operator="equal">
      <formula>"Acar2"</formula>
    </cfRule>
    <cfRule type="cellIs" dxfId="97" priority="10" operator="equal">
      <formula>"AL3"</formula>
    </cfRule>
    <cfRule type="cellIs" dxfId="96" priority="11" operator="equal">
      <formula>"Acar3"</formula>
    </cfRule>
    <cfRule type="cellIs" dxfId="95" priority="12" operator="equal">
      <formula>"AL4"</formula>
    </cfRule>
    <cfRule type="cellIs" dxfId="94" priority="13" operator="equal">
      <formula>"Acar4"</formula>
    </cfRule>
    <cfRule type="cellIs" dxfId="93" priority="14" operator="equal">
      <formula>"AL5"</formula>
    </cfRule>
    <cfRule type="cellIs" dxfId="92" priority="15" operator="equal">
      <formula>"Acar5"</formula>
    </cfRule>
    <cfRule type="cellIs" dxfId="91" priority="16" operator="equal">
      <formula>"AL6"</formula>
    </cfRule>
    <cfRule type="cellIs" dxfId="90" priority="17" operator="equal">
      <formula>"Acar6"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AF6491-C53B-4212-90A2-E379FCD2B859}">
          <x14:formula1>
            <xm:f>List!$F$2:$F$19</xm:f>
          </x14:formula1>
          <xm:sqref>B13:AW18 B3:AW8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5762-0555-4C6D-BCE9-478350F4A1CE}">
  <sheetPr>
    <pageSetUpPr fitToPage="1"/>
  </sheetPr>
  <dimension ref="A1:AX22"/>
  <sheetViews>
    <sheetView zoomScale="80" zoomScaleNormal="80" workbookViewId="0">
      <selection activeCell="V28" sqref="V28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50" ht="15.75" thickBot="1" x14ac:dyDescent="0.3">
      <c r="A1" s="35" t="s">
        <v>0</v>
      </c>
      <c r="B1" s="41">
        <v>0.91666666666666663</v>
      </c>
      <c r="C1" s="42">
        <v>0.92708333333333337</v>
      </c>
      <c r="D1" s="42">
        <v>0.9375</v>
      </c>
      <c r="E1" s="43">
        <v>0.94791666666666663</v>
      </c>
      <c r="F1" s="41">
        <v>0.95833333333333404</v>
      </c>
      <c r="G1" s="42">
        <v>0.96875</v>
      </c>
      <c r="H1" s="42">
        <v>0.97916666666666696</v>
      </c>
      <c r="I1" s="43">
        <v>0.98958333333333404</v>
      </c>
      <c r="J1" s="41">
        <v>1</v>
      </c>
      <c r="K1" s="42">
        <v>1.0104166666666701</v>
      </c>
      <c r="L1" s="42">
        <v>1.0208333333333299</v>
      </c>
      <c r="M1" s="43">
        <v>1.03125</v>
      </c>
      <c r="N1" s="41">
        <v>1.0416666666666701</v>
      </c>
      <c r="O1" s="42">
        <v>1.0520833333333299</v>
      </c>
      <c r="P1" s="42">
        <v>1.0625</v>
      </c>
      <c r="Q1" s="43">
        <v>1.0729166666666701</v>
      </c>
      <c r="R1" s="41">
        <v>1.0833333333333299</v>
      </c>
      <c r="S1" s="42">
        <v>1.09375</v>
      </c>
      <c r="T1" s="42">
        <v>1.1041666666666701</v>
      </c>
      <c r="U1" s="43">
        <v>1.1145833333333299</v>
      </c>
      <c r="V1" s="41">
        <v>1.125</v>
      </c>
      <c r="W1" s="42">
        <v>1.1354166666666701</v>
      </c>
      <c r="X1" s="42">
        <v>1.1458333333333299</v>
      </c>
      <c r="Y1" s="43">
        <v>1.15625</v>
      </c>
      <c r="Z1" s="41">
        <v>1.1666666666666701</v>
      </c>
      <c r="AA1" s="42">
        <v>1.1770833333333399</v>
      </c>
      <c r="AB1" s="42">
        <v>1.1875</v>
      </c>
      <c r="AC1" s="43">
        <v>1.1979166666666701</v>
      </c>
      <c r="AD1" s="41">
        <v>1.2083333333333399</v>
      </c>
      <c r="AE1" s="42">
        <v>1.21875</v>
      </c>
      <c r="AF1" s="42">
        <v>1.2291666666666701</v>
      </c>
      <c r="AG1" s="43">
        <v>1.2395833333333399</v>
      </c>
      <c r="AH1" s="41">
        <v>1.25</v>
      </c>
      <c r="AI1" s="42">
        <v>1.2604166666666701</v>
      </c>
      <c r="AJ1" s="42">
        <v>1.2708333333333399</v>
      </c>
      <c r="AK1" s="43">
        <v>1.28125</v>
      </c>
      <c r="AL1" s="41">
        <v>1.2916666666666701</v>
      </c>
      <c r="AM1" s="42">
        <v>1.3020833333333399</v>
      </c>
      <c r="AN1" s="42">
        <v>1.3125</v>
      </c>
      <c r="AO1" s="43">
        <v>1.3229166666666701</v>
      </c>
      <c r="AP1" s="41">
        <v>1.3333333333333399</v>
      </c>
      <c r="AQ1" s="42">
        <v>1.34375</v>
      </c>
      <c r="AR1" s="42">
        <v>1.3541666666666701</v>
      </c>
      <c r="AS1" s="43">
        <v>1.3645833333333399</v>
      </c>
      <c r="AT1" s="41">
        <v>1.375</v>
      </c>
      <c r="AU1" s="42">
        <v>1.3854166666666701</v>
      </c>
      <c r="AV1" s="42">
        <v>1.3958333333333399</v>
      </c>
      <c r="AW1" s="43">
        <v>1.40625</v>
      </c>
    </row>
    <row r="2" spans="1:50" ht="15.75" thickBot="1" x14ac:dyDescent="0.3">
      <c r="A2" s="37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9"/>
    </row>
    <row r="3" spans="1:50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28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28</v>
      </c>
      <c r="AG3" s="18" t="s">
        <v>28</v>
      </c>
      <c r="AH3" s="18" t="s">
        <v>2</v>
      </c>
      <c r="AI3" s="18" t="s">
        <v>2</v>
      </c>
      <c r="AJ3" s="18" t="s">
        <v>2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  <c r="AX3">
        <f>COUNTIF(B3:AW3, "#")</f>
        <v>15</v>
      </c>
    </row>
    <row r="4" spans="1:50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  <c r="AX4">
        <f t="shared" ref="AX4:AX8" si="0">COUNTIF(B4:AW4, "#")</f>
        <v>15</v>
      </c>
    </row>
    <row r="5" spans="1:50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30</v>
      </c>
      <c r="I5" s="19" t="s">
        <v>30</v>
      </c>
      <c r="J5" s="19" t="s">
        <v>30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26</v>
      </c>
      <c r="AA5" s="19" t="s">
        <v>26</v>
      </c>
      <c r="AB5" s="19" t="s">
        <v>26</v>
      </c>
      <c r="AC5" s="19" t="s">
        <v>26</v>
      </c>
      <c r="AD5" s="19" t="s">
        <v>26</v>
      </c>
      <c r="AE5" s="19" t="s">
        <v>26</v>
      </c>
      <c r="AF5" s="19" t="s">
        <v>26</v>
      </c>
      <c r="AG5" s="19" t="s">
        <v>26</v>
      </c>
      <c r="AH5" s="19" t="s">
        <v>26</v>
      </c>
      <c r="AI5" s="19" t="s">
        <v>26</v>
      </c>
      <c r="AJ5" s="19" t="s">
        <v>26</v>
      </c>
      <c r="AK5" s="19" t="s">
        <v>26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  <c r="AX5">
        <f t="shared" si="0"/>
        <v>12</v>
      </c>
    </row>
    <row r="6" spans="1:50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31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26</v>
      </c>
      <c r="AA6" s="19" t="s">
        <v>26</v>
      </c>
      <c r="AB6" s="19" t="s">
        <v>26</v>
      </c>
      <c r="AC6" s="19" t="s">
        <v>26</v>
      </c>
      <c r="AD6" s="19" t="s">
        <v>26</v>
      </c>
      <c r="AE6" s="19" t="s">
        <v>26</v>
      </c>
      <c r="AF6" s="19" t="s">
        <v>26</v>
      </c>
      <c r="AG6" s="19" t="s">
        <v>26</v>
      </c>
      <c r="AH6" s="19" t="s">
        <v>26</v>
      </c>
      <c r="AI6" s="19" t="s">
        <v>26</v>
      </c>
      <c r="AJ6" s="19" t="s">
        <v>26</v>
      </c>
      <c r="AK6" s="19" t="s">
        <v>26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  <c r="AX6">
        <f t="shared" si="0"/>
        <v>12</v>
      </c>
    </row>
    <row r="7" spans="1:50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32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</v>
      </c>
      <c r="AI7" s="19" t="s">
        <v>2</v>
      </c>
      <c r="AJ7" s="19" t="s">
        <v>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2</v>
      </c>
      <c r="AQ7" s="19" t="s">
        <v>2</v>
      </c>
      <c r="AR7" s="19" t="s">
        <v>32</v>
      </c>
      <c r="AS7" s="19" t="s">
        <v>32</v>
      </c>
      <c r="AT7" s="19" t="s">
        <v>32</v>
      </c>
      <c r="AU7" s="19" t="s">
        <v>32</v>
      </c>
      <c r="AV7" s="19" t="s">
        <v>32</v>
      </c>
      <c r="AW7" s="24" t="s">
        <v>32</v>
      </c>
      <c r="AX7">
        <f t="shared" si="0"/>
        <v>15</v>
      </c>
    </row>
    <row r="8" spans="1:50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28</v>
      </c>
      <c r="AI8" s="26" t="s">
        <v>28</v>
      </c>
      <c r="AJ8" s="26" t="s">
        <v>28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33</v>
      </c>
      <c r="AQ8" s="26" t="s">
        <v>33</v>
      </c>
      <c r="AR8" s="26" t="s">
        <v>2</v>
      </c>
      <c r="AS8" s="26" t="s">
        <v>2</v>
      </c>
      <c r="AT8" s="26" t="s">
        <v>33</v>
      </c>
      <c r="AU8" s="26" t="s">
        <v>33</v>
      </c>
      <c r="AV8" s="26" t="s">
        <v>33</v>
      </c>
      <c r="AW8" s="27" t="s">
        <v>33</v>
      </c>
      <c r="AX8">
        <f t="shared" si="0"/>
        <v>15</v>
      </c>
    </row>
    <row r="9" spans="1:50" ht="15.75" thickBot="1" x14ac:dyDescent="0.3">
      <c r="A9" s="40" t="s">
        <v>22</v>
      </c>
      <c r="B9" s="30">
        <f>SUM(COUNTIF(B3:B8,"=AL*"))</f>
        <v>6</v>
      </c>
      <c r="C9" s="30">
        <f t="shared" ref="C9:AW9" si="1">SUM(COUNTIF(C3:C8,"=AL*"))</f>
        <v>6</v>
      </c>
      <c r="D9" s="30">
        <f t="shared" si="1"/>
        <v>6</v>
      </c>
      <c r="E9" s="30">
        <f t="shared" si="1"/>
        <v>6</v>
      </c>
      <c r="F9" s="30">
        <f t="shared" si="1"/>
        <v>6</v>
      </c>
      <c r="G9" s="30">
        <f t="shared" si="1"/>
        <v>6</v>
      </c>
      <c r="H9" s="30">
        <f t="shared" si="1"/>
        <v>6</v>
      </c>
      <c r="I9" s="30">
        <f t="shared" si="1"/>
        <v>6</v>
      </c>
      <c r="J9" s="30">
        <f t="shared" si="1"/>
        <v>6</v>
      </c>
      <c r="K9" s="30">
        <f t="shared" si="1"/>
        <v>4</v>
      </c>
      <c r="L9" s="30">
        <f t="shared" si="1"/>
        <v>4</v>
      </c>
      <c r="M9" s="30">
        <f t="shared" si="1"/>
        <v>4</v>
      </c>
      <c r="N9" s="30">
        <f t="shared" si="1"/>
        <v>2</v>
      </c>
      <c r="O9" s="30">
        <f t="shared" si="1"/>
        <v>2</v>
      </c>
      <c r="P9" s="30">
        <f t="shared" si="1"/>
        <v>2</v>
      </c>
      <c r="Q9" s="30">
        <f t="shared" si="1"/>
        <v>2</v>
      </c>
      <c r="R9" s="30">
        <f t="shared" si="1"/>
        <v>2</v>
      </c>
      <c r="S9" s="30">
        <f t="shared" si="1"/>
        <v>2</v>
      </c>
      <c r="T9" s="30">
        <f t="shared" si="1"/>
        <v>2</v>
      </c>
      <c r="U9" s="30">
        <f t="shared" si="1"/>
        <v>2</v>
      </c>
      <c r="V9" s="30">
        <f t="shared" si="1"/>
        <v>2</v>
      </c>
      <c r="W9" s="30">
        <f t="shared" si="1"/>
        <v>2</v>
      </c>
      <c r="X9" s="30">
        <f t="shared" si="1"/>
        <v>4</v>
      </c>
      <c r="Y9" s="30">
        <f t="shared" si="1"/>
        <v>4</v>
      </c>
      <c r="Z9" s="30">
        <f t="shared" si="1"/>
        <v>2</v>
      </c>
      <c r="AA9" s="30">
        <f t="shared" si="1"/>
        <v>2</v>
      </c>
      <c r="AB9" s="30">
        <f t="shared" si="1"/>
        <v>2</v>
      </c>
      <c r="AC9" s="30">
        <f t="shared" si="1"/>
        <v>2</v>
      </c>
      <c r="AD9" s="30">
        <f t="shared" si="1"/>
        <v>2</v>
      </c>
      <c r="AE9" s="30">
        <f t="shared" si="1"/>
        <v>2</v>
      </c>
      <c r="AF9" s="30">
        <f t="shared" si="1"/>
        <v>2</v>
      </c>
      <c r="AG9" s="30">
        <f t="shared" si="1"/>
        <v>2</v>
      </c>
      <c r="AH9" s="30">
        <f t="shared" si="1"/>
        <v>2</v>
      </c>
      <c r="AI9" s="30">
        <f t="shared" si="1"/>
        <v>2</v>
      </c>
      <c r="AJ9" s="30">
        <f t="shared" si="1"/>
        <v>2</v>
      </c>
      <c r="AK9" s="30">
        <f t="shared" si="1"/>
        <v>4</v>
      </c>
      <c r="AL9" s="30">
        <f t="shared" si="1"/>
        <v>6</v>
      </c>
      <c r="AM9" s="30">
        <f t="shared" si="1"/>
        <v>6</v>
      </c>
      <c r="AN9" s="30">
        <f t="shared" si="1"/>
        <v>4</v>
      </c>
      <c r="AO9" s="30">
        <f t="shared" si="1"/>
        <v>4</v>
      </c>
      <c r="AP9" s="30">
        <f t="shared" si="1"/>
        <v>4</v>
      </c>
      <c r="AQ9" s="30">
        <f t="shared" si="1"/>
        <v>4</v>
      </c>
      <c r="AR9" s="30">
        <f t="shared" si="1"/>
        <v>4</v>
      </c>
      <c r="AS9" s="30">
        <f t="shared" si="1"/>
        <v>4</v>
      </c>
      <c r="AT9" s="30">
        <f t="shared" si="1"/>
        <v>6</v>
      </c>
      <c r="AU9" s="30">
        <f t="shared" si="1"/>
        <v>6</v>
      </c>
      <c r="AV9" s="30">
        <f t="shared" si="1"/>
        <v>6</v>
      </c>
      <c r="AW9" s="31">
        <f t="shared" si="1"/>
        <v>6</v>
      </c>
    </row>
    <row r="10" spans="1:50" ht="15.75" thickBot="1" x14ac:dyDescent="0.3">
      <c r="A10" s="40" t="s">
        <v>23</v>
      </c>
      <c r="B10" s="30">
        <f>SUM(COUNTIF(B3:B8,"=Acar*"))</f>
        <v>0</v>
      </c>
      <c r="C10" s="30">
        <f t="shared" ref="C10:AW10" si="2">SUM(COUNTIF(C3:C8,"=Acar*"))</f>
        <v>0</v>
      </c>
      <c r="D10" s="30">
        <f t="shared" si="2"/>
        <v>0</v>
      </c>
      <c r="E10" s="30">
        <f t="shared" si="2"/>
        <v>0</v>
      </c>
      <c r="F10" s="30">
        <f t="shared" si="2"/>
        <v>0</v>
      </c>
      <c r="G10" s="30">
        <f t="shared" si="2"/>
        <v>0</v>
      </c>
      <c r="H10" s="30">
        <f t="shared" si="2"/>
        <v>0</v>
      </c>
      <c r="I10" s="30">
        <f t="shared" si="2"/>
        <v>0</v>
      </c>
      <c r="J10" s="30">
        <f t="shared" si="2"/>
        <v>0</v>
      </c>
      <c r="K10" s="30">
        <f t="shared" si="2"/>
        <v>0</v>
      </c>
      <c r="L10" s="30">
        <f t="shared" si="2"/>
        <v>0</v>
      </c>
      <c r="M10" s="30">
        <f t="shared" si="2"/>
        <v>0</v>
      </c>
      <c r="N10" s="30">
        <f t="shared" si="2"/>
        <v>0</v>
      </c>
      <c r="O10" s="30">
        <f t="shared" si="2"/>
        <v>0</v>
      </c>
      <c r="P10" s="30">
        <f t="shared" si="2"/>
        <v>0</v>
      </c>
      <c r="Q10" s="30">
        <f t="shared" si="2"/>
        <v>0</v>
      </c>
      <c r="R10" s="30">
        <f t="shared" si="2"/>
        <v>0</v>
      </c>
      <c r="S10" s="30">
        <f t="shared" si="2"/>
        <v>0</v>
      </c>
      <c r="T10" s="30">
        <f t="shared" si="2"/>
        <v>0</v>
      </c>
      <c r="U10" s="30">
        <f t="shared" si="2"/>
        <v>0</v>
      </c>
      <c r="V10" s="30">
        <f t="shared" si="2"/>
        <v>0</v>
      </c>
      <c r="W10" s="30">
        <f t="shared" si="2"/>
        <v>0</v>
      </c>
      <c r="X10" s="30">
        <f t="shared" si="2"/>
        <v>0</v>
      </c>
      <c r="Y10" s="30">
        <f t="shared" si="2"/>
        <v>0</v>
      </c>
      <c r="Z10" s="30">
        <f t="shared" si="2"/>
        <v>0</v>
      </c>
      <c r="AA10" s="30">
        <f t="shared" si="2"/>
        <v>0</v>
      </c>
      <c r="AB10" s="30">
        <f t="shared" si="2"/>
        <v>0</v>
      </c>
      <c r="AC10" s="30">
        <f t="shared" si="2"/>
        <v>0</v>
      </c>
      <c r="AD10" s="30">
        <f t="shared" si="2"/>
        <v>0</v>
      </c>
      <c r="AE10" s="30">
        <f t="shared" si="2"/>
        <v>0</v>
      </c>
      <c r="AF10" s="30">
        <f t="shared" si="2"/>
        <v>0</v>
      </c>
      <c r="AG10" s="30">
        <f t="shared" si="2"/>
        <v>0</v>
      </c>
      <c r="AH10" s="30">
        <f t="shared" si="2"/>
        <v>0</v>
      </c>
      <c r="AI10" s="30">
        <f t="shared" si="2"/>
        <v>0</v>
      </c>
      <c r="AJ10" s="30">
        <f t="shared" si="2"/>
        <v>0</v>
      </c>
      <c r="AK10" s="30">
        <f t="shared" si="2"/>
        <v>0</v>
      </c>
      <c r="AL10" s="30">
        <f t="shared" si="2"/>
        <v>0</v>
      </c>
      <c r="AM10" s="30">
        <f t="shared" si="2"/>
        <v>0</v>
      </c>
      <c r="AN10" s="30">
        <f t="shared" si="2"/>
        <v>0</v>
      </c>
      <c r="AO10" s="30">
        <f t="shared" si="2"/>
        <v>0</v>
      </c>
      <c r="AP10" s="30">
        <f t="shared" si="2"/>
        <v>0</v>
      </c>
      <c r="AQ10" s="30">
        <f t="shared" si="2"/>
        <v>0</v>
      </c>
      <c r="AR10" s="30">
        <f t="shared" si="2"/>
        <v>0</v>
      </c>
      <c r="AS10" s="30">
        <f t="shared" si="2"/>
        <v>0</v>
      </c>
      <c r="AT10" s="30">
        <f t="shared" si="2"/>
        <v>0</v>
      </c>
      <c r="AU10" s="30">
        <f t="shared" si="2"/>
        <v>0</v>
      </c>
      <c r="AV10" s="30">
        <f t="shared" si="2"/>
        <v>0</v>
      </c>
      <c r="AW10" s="31">
        <f t="shared" si="2"/>
        <v>0</v>
      </c>
    </row>
    <row r="11" spans="1:50" ht="15.75" thickBot="1" x14ac:dyDescent="0.3">
      <c r="A11" s="40" t="s">
        <v>1</v>
      </c>
      <c r="B11" s="28" t="str">
        <f>IF(B10=0, CONCATENATE(B9), CONCATENATE(B9, ",",B10))</f>
        <v>6</v>
      </c>
      <c r="C11" s="28" t="str">
        <f t="shared" ref="C11:AW11" si="3">IF(C10=0, CONCATENATE(C9), CONCATENATE(C9, ",",C10))</f>
        <v>6</v>
      </c>
      <c r="D11" s="28" t="str">
        <f t="shared" si="3"/>
        <v>6</v>
      </c>
      <c r="E11" s="28" t="str">
        <f t="shared" si="3"/>
        <v>6</v>
      </c>
      <c r="F11" s="28" t="str">
        <f t="shared" si="3"/>
        <v>6</v>
      </c>
      <c r="G11" s="28" t="str">
        <f t="shared" si="3"/>
        <v>6</v>
      </c>
      <c r="H11" s="28" t="str">
        <f t="shared" si="3"/>
        <v>6</v>
      </c>
      <c r="I11" s="28" t="str">
        <f t="shared" si="3"/>
        <v>6</v>
      </c>
      <c r="J11" s="28" t="str">
        <f t="shared" si="3"/>
        <v>6</v>
      </c>
      <c r="K11" s="28" t="str">
        <f t="shared" si="3"/>
        <v>4</v>
      </c>
      <c r="L11" s="28" t="str">
        <f t="shared" si="3"/>
        <v>4</v>
      </c>
      <c r="M11" s="28" t="str">
        <f t="shared" si="3"/>
        <v>4</v>
      </c>
      <c r="N11" s="28" t="str">
        <f t="shared" si="3"/>
        <v>2</v>
      </c>
      <c r="O11" s="28" t="str">
        <f t="shared" si="3"/>
        <v>2</v>
      </c>
      <c r="P11" s="28" t="str">
        <f t="shared" si="3"/>
        <v>2</v>
      </c>
      <c r="Q11" s="28" t="str">
        <f t="shared" si="3"/>
        <v>2</v>
      </c>
      <c r="R11" s="28" t="str">
        <f t="shared" si="3"/>
        <v>2</v>
      </c>
      <c r="S11" s="28" t="str">
        <f t="shared" si="3"/>
        <v>2</v>
      </c>
      <c r="T11" s="28" t="str">
        <f t="shared" si="3"/>
        <v>2</v>
      </c>
      <c r="U11" s="28" t="str">
        <f t="shared" si="3"/>
        <v>2</v>
      </c>
      <c r="V11" s="28" t="str">
        <f t="shared" si="3"/>
        <v>2</v>
      </c>
      <c r="W11" s="28" t="str">
        <f t="shared" si="3"/>
        <v>2</v>
      </c>
      <c r="X11" s="28" t="str">
        <f t="shared" si="3"/>
        <v>4</v>
      </c>
      <c r="Y11" s="28" t="str">
        <f t="shared" si="3"/>
        <v>4</v>
      </c>
      <c r="Z11" s="28" t="str">
        <f t="shared" si="3"/>
        <v>2</v>
      </c>
      <c r="AA11" s="28" t="str">
        <f t="shared" si="3"/>
        <v>2</v>
      </c>
      <c r="AB11" s="28" t="str">
        <f t="shared" si="3"/>
        <v>2</v>
      </c>
      <c r="AC11" s="28" t="str">
        <f t="shared" si="3"/>
        <v>2</v>
      </c>
      <c r="AD11" s="28" t="str">
        <f t="shared" si="3"/>
        <v>2</v>
      </c>
      <c r="AE11" s="28" t="str">
        <f t="shared" si="3"/>
        <v>2</v>
      </c>
      <c r="AF11" s="28" t="str">
        <f t="shared" si="3"/>
        <v>2</v>
      </c>
      <c r="AG11" s="28" t="str">
        <f t="shared" si="3"/>
        <v>2</v>
      </c>
      <c r="AH11" s="28" t="str">
        <f t="shared" si="3"/>
        <v>2</v>
      </c>
      <c r="AI11" s="28" t="str">
        <f t="shared" si="3"/>
        <v>2</v>
      </c>
      <c r="AJ11" s="28" t="str">
        <f t="shared" si="3"/>
        <v>2</v>
      </c>
      <c r="AK11" s="28" t="str">
        <f t="shared" si="3"/>
        <v>4</v>
      </c>
      <c r="AL11" s="28" t="str">
        <f t="shared" si="3"/>
        <v>6</v>
      </c>
      <c r="AM11" s="28" t="str">
        <f t="shared" si="3"/>
        <v>6</v>
      </c>
      <c r="AN11" s="28" t="str">
        <f t="shared" si="3"/>
        <v>4</v>
      </c>
      <c r="AO11" s="28" t="str">
        <f t="shared" si="3"/>
        <v>4</v>
      </c>
      <c r="AP11" s="28" t="str">
        <f t="shared" si="3"/>
        <v>4</v>
      </c>
      <c r="AQ11" s="28" t="str">
        <f t="shared" si="3"/>
        <v>4</v>
      </c>
      <c r="AR11" s="28" t="str">
        <f t="shared" si="3"/>
        <v>4</v>
      </c>
      <c r="AS11" s="28" t="str">
        <f t="shared" si="3"/>
        <v>4</v>
      </c>
      <c r="AT11" s="28" t="str">
        <f t="shared" si="3"/>
        <v>6</v>
      </c>
      <c r="AU11" s="28" t="str">
        <f t="shared" si="3"/>
        <v>6</v>
      </c>
      <c r="AV11" s="28" t="str">
        <f t="shared" si="3"/>
        <v>6</v>
      </c>
      <c r="AW11" s="29" t="str">
        <f t="shared" si="3"/>
        <v>6</v>
      </c>
    </row>
    <row r="12" spans="1:50" ht="15.75" thickBot="1" x14ac:dyDescent="0.3">
      <c r="A12" s="37" t="s">
        <v>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9"/>
    </row>
    <row r="13" spans="1:50" ht="15.75" thickBot="1" x14ac:dyDescent="0.3">
      <c r="A13" s="7" t="s">
        <v>4</v>
      </c>
      <c r="B13" s="21"/>
      <c r="C13" s="18"/>
      <c r="D13" s="18"/>
      <c r="E13" s="18"/>
      <c r="F13" s="18"/>
      <c r="G13" s="18"/>
      <c r="H13" s="18"/>
      <c r="I13" s="18"/>
      <c r="J13" s="18"/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50" x14ac:dyDescent="0.25">
      <c r="A14" s="7" t="s">
        <v>4</v>
      </c>
      <c r="B14" s="23"/>
      <c r="C14" s="19"/>
      <c r="D14" s="19"/>
      <c r="E14" s="19"/>
      <c r="F14" s="19"/>
      <c r="G14" s="19"/>
      <c r="H14" s="19"/>
      <c r="I14" s="19"/>
      <c r="J14" s="19"/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50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50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40" t="s">
        <v>22</v>
      </c>
      <c r="B19" s="30">
        <f>SUM(COUNTIF(B13:B18,"=AL*"))</f>
        <v>0</v>
      </c>
      <c r="C19" s="30">
        <f t="shared" ref="C19:AW19" si="4">SUM(COUNTIF(C13:C18,"=AL*"))</f>
        <v>0</v>
      </c>
      <c r="D19" s="30">
        <f t="shared" si="4"/>
        <v>0</v>
      </c>
      <c r="E19" s="30">
        <f t="shared" si="4"/>
        <v>0</v>
      </c>
      <c r="F19" s="30">
        <f t="shared" si="4"/>
        <v>0</v>
      </c>
      <c r="G19" s="30">
        <f t="shared" si="4"/>
        <v>0</v>
      </c>
      <c r="H19" s="30">
        <f t="shared" si="4"/>
        <v>0</v>
      </c>
      <c r="I19" s="30">
        <f t="shared" si="4"/>
        <v>0</v>
      </c>
      <c r="J19" s="30">
        <f t="shared" si="4"/>
        <v>0</v>
      </c>
      <c r="K19" s="30">
        <f t="shared" si="4"/>
        <v>2</v>
      </c>
      <c r="L19" s="30">
        <f t="shared" si="4"/>
        <v>2</v>
      </c>
      <c r="M19" s="30">
        <f t="shared" si="4"/>
        <v>2</v>
      </c>
      <c r="N19" s="30">
        <f t="shared" si="4"/>
        <v>0</v>
      </c>
      <c r="O19" s="30">
        <f t="shared" si="4"/>
        <v>0</v>
      </c>
      <c r="P19" s="30">
        <f t="shared" si="4"/>
        <v>0</v>
      </c>
      <c r="Q19" s="30">
        <f t="shared" si="4"/>
        <v>0</v>
      </c>
      <c r="R19" s="30">
        <f t="shared" si="4"/>
        <v>0</v>
      </c>
      <c r="S19" s="30">
        <f t="shared" si="4"/>
        <v>0</v>
      </c>
      <c r="T19" s="30">
        <f t="shared" si="4"/>
        <v>0</v>
      </c>
      <c r="U19" s="30">
        <f t="shared" si="4"/>
        <v>0</v>
      </c>
      <c r="V19" s="30">
        <f t="shared" si="4"/>
        <v>0</v>
      </c>
      <c r="W19" s="30">
        <f t="shared" si="4"/>
        <v>0</v>
      </c>
      <c r="X19" s="30">
        <f t="shared" si="4"/>
        <v>0</v>
      </c>
      <c r="Y19" s="30">
        <f t="shared" si="4"/>
        <v>0</v>
      </c>
      <c r="Z19" s="30">
        <f t="shared" si="4"/>
        <v>0</v>
      </c>
      <c r="AA19" s="30">
        <f t="shared" si="4"/>
        <v>0</v>
      </c>
      <c r="AB19" s="30">
        <f t="shared" si="4"/>
        <v>0</v>
      </c>
      <c r="AC19" s="30">
        <f t="shared" si="4"/>
        <v>0</v>
      </c>
      <c r="AD19" s="30">
        <f t="shared" si="4"/>
        <v>0</v>
      </c>
      <c r="AE19" s="30">
        <f t="shared" si="4"/>
        <v>0</v>
      </c>
      <c r="AF19" s="30">
        <f t="shared" si="4"/>
        <v>0</v>
      </c>
      <c r="AG19" s="30">
        <f t="shared" si="4"/>
        <v>0</v>
      </c>
      <c r="AH19" s="30">
        <f t="shared" si="4"/>
        <v>0</v>
      </c>
      <c r="AI19" s="30">
        <f t="shared" si="4"/>
        <v>0</v>
      </c>
      <c r="AJ19" s="30">
        <f t="shared" si="4"/>
        <v>0</v>
      </c>
      <c r="AK19" s="30">
        <f t="shared" si="4"/>
        <v>0</v>
      </c>
      <c r="AL19" s="30">
        <f t="shared" si="4"/>
        <v>0</v>
      </c>
      <c r="AM19" s="30">
        <f t="shared" si="4"/>
        <v>0</v>
      </c>
      <c r="AN19" s="30">
        <f t="shared" si="4"/>
        <v>2</v>
      </c>
      <c r="AO19" s="30">
        <f t="shared" si="4"/>
        <v>2</v>
      </c>
      <c r="AP19" s="30">
        <f t="shared" si="4"/>
        <v>2</v>
      </c>
      <c r="AQ19" s="30">
        <f t="shared" si="4"/>
        <v>2</v>
      </c>
      <c r="AR19" s="30">
        <f t="shared" si="4"/>
        <v>2</v>
      </c>
      <c r="AS19" s="30">
        <f t="shared" si="4"/>
        <v>2</v>
      </c>
      <c r="AT19" s="30">
        <f t="shared" si="4"/>
        <v>0</v>
      </c>
      <c r="AU19" s="30">
        <f t="shared" si="4"/>
        <v>0</v>
      </c>
      <c r="AV19" s="30">
        <f t="shared" si="4"/>
        <v>0</v>
      </c>
      <c r="AW19" s="31">
        <f t="shared" si="4"/>
        <v>0</v>
      </c>
    </row>
    <row r="20" spans="1:49" ht="15.75" thickBot="1" x14ac:dyDescent="0.3">
      <c r="A20" s="40" t="s">
        <v>23</v>
      </c>
      <c r="B20" s="30">
        <f>SUM(COUNTIF(B13:B18,"=Acar*"))</f>
        <v>0</v>
      </c>
      <c r="C20" s="30">
        <f t="shared" ref="C20:AW20" si="5">SUM(COUNTIF(C13:C18,"=Acar*"))</f>
        <v>0</v>
      </c>
      <c r="D20" s="30">
        <f t="shared" si="5"/>
        <v>0</v>
      </c>
      <c r="E20" s="30">
        <f t="shared" si="5"/>
        <v>0</v>
      </c>
      <c r="F20" s="30">
        <f t="shared" si="5"/>
        <v>0</v>
      </c>
      <c r="G20" s="30">
        <f t="shared" si="5"/>
        <v>0</v>
      </c>
      <c r="H20" s="30">
        <f t="shared" si="5"/>
        <v>0</v>
      </c>
      <c r="I20" s="30">
        <f t="shared" si="5"/>
        <v>0</v>
      </c>
      <c r="J20" s="30">
        <f t="shared" si="5"/>
        <v>0</v>
      </c>
      <c r="K20" s="30">
        <f t="shared" si="5"/>
        <v>0</v>
      </c>
      <c r="L20" s="30">
        <f t="shared" si="5"/>
        <v>0</v>
      </c>
      <c r="M20" s="30">
        <f t="shared" si="5"/>
        <v>0</v>
      </c>
      <c r="N20" s="30">
        <f t="shared" si="5"/>
        <v>0</v>
      </c>
      <c r="O20" s="30">
        <f t="shared" si="5"/>
        <v>0</v>
      </c>
      <c r="P20" s="30">
        <f t="shared" si="5"/>
        <v>0</v>
      </c>
      <c r="Q20" s="30">
        <f t="shared" si="5"/>
        <v>0</v>
      </c>
      <c r="R20" s="30">
        <f t="shared" si="5"/>
        <v>0</v>
      </c>
      <c r="S20" s="30">
        <f t="shared" si="5"/>
        <v>0</v>
      </c>
      <c r="T20" s="30">
        <f t="shared" si="5"/>
        <v>0</v>
      </c>
      <c r="U20" s="30">
        <f t="shared" si="5"/>
        <v>0</v>
      </c>
      <c r="V20" s="30">
        <f t="shared" si="5"/>
        <v>0</v>
      </c>
      <c r="W20" s="30">
        <f t="shared" si="5"/>
        <v>0</v>
      </c>
      <c r="X20" s="30">
        <f t="shared" si="5"/>
        <v>0</v>
      </c>
      <c r="Y20" s="30">
        <f t="shared" si="5"/>
        <v>0</v>
      </c>
      <c r="Z20" s="30">
        <f t="shared" si="5"/>
        <v>0</v>
      </c>
      <c r="AA20" s="30">
        <f t="shared" si="5"/>
        <v>0</v>
      </c>
      <c r="AB20" s="30">
        <f t="shared" si="5"/>
        <v>0</v>
      </c>
      <c r="AC20" s="30">
        <f t="shared" si="5"/>
        <v>0</v>
      </c>
      <c r="AD20" s="30">
        <f t="shared" si="5"/>
        <v>0</v>
      </c>
      <c r="AE20" s="30">
        <f t="shared" si="5"/>
        <v>0</v>
      </c>
      <c r="AF20" s="30">
        <f t="shared" si="5"/>
        <v>0</v>
      </c>
      <c r="AG20" s="30">
        <f t="shared" si="5"/>
        <v>0</v>
      </c>
      <c r="AH20" s="30">
        <f t="shared" si="5"/>
        <v>0</v>
      </c>
      <c r="AI20" s="30">
        <f t="shared" si="5"/>
        <v>0</v>
      </c>
      <c r="AJ20" s="30">
        <f t="shared" si="5"/>
        <v>0</v>
      </c>
      <c r="AK20" s="30">
        <f t="shared" si="5"/>
        <v>0</v>
      </c>
      <c r="AL20" s="30">
        <f t="shared" si="5"/>
        <v>0</v>
      </c>
      <c r="AM20" s="30">
        <f t="shared" si="5"/>
        <v>0</v>
      </c>
      <c r="AN20" s="30">
        <f t="shared" si="5"/>
        <v>0</v>
      </c>
      <c r="AO20" s="30">
        <f t="shared" si="5"/>
        <v>0</v>
      </c>
      <c r="AP20" s="30">
        <f t="shared" si="5"/>
        <v>0</v>
      </c>
      <c r="AQ20" s="30">
        <f t="shared" si="5"/>
        <v>0</v>
      </c>
      <c r="AR20" s="30">
        <f t="shared" si="5"/>
        <v>0</v>
      </c>
      <c r="AS20" s="30">
        <f t="shared" si="5"/>
        <v>0</v>
      </c>
      <c r="AT20" s="30">
        <f t="shared" si="5"/>
        <v>0</v>
      </c>
      <c r="AU20" s="30">
        <f t="shared" si="5"/>
        <v>0</v>
      </c>
      <c r="AV20" s="30">
        <f t="shared" si="5"/>
        <v>0</v>
      </c>
      <c r="AW20" s="31">
        <f t="shared" si="5"/>
        <v>0</v>
      </c>
    </row>
    <row r="21" spans="1:49" ht="15.75" thickBot="1" x14ac:dyDescent="0.3">
      <c r="A21" s="40" t="s">
        <v>1</v>
      </c>
      <c r="B21" s="28" t="str">
        <f>IF(B20=0, CONCATENATE(B19), CONCATENATE(B19, ",",B20))</f>
        <v>0</v>
      </c>
      <c r="C21" s="28" t="str">
        <f t="shared" ref="C21:AW21" si="6">IF(C20=0, CONCATENATE(C19), CONCATENATE(C19, ",",C20))</f>
        <v>0</v>
      </c>
      <c r="D21" s="28" t="str">
        <f t="shared" si="6"/>
        <v>0</v>
      </c>
      <c r="E21" s="28" t="str">
        <f t="shared" si="6"/>
        <v>0</v>
      </c>
      <c r="F21" s="28" t="str">
        <f t="shared" si="6"/>
        <v>0</v>
      </c>
      <c r="G21" s="28" t="str">
        <f t="shared" si="6"/>
        <v>0</v>
      </c>
      <c r="H21" s="28" t="str">
        <f t="shared" si="6"/>
        <v>0</v>
      </c>
      <c r="I21" s="28" t="str">
        <f t="shared" si="6"/>
        <v>0</v>
      </c>
      <c r="J21" s="28" t="str">
        <f t="shared" si="6"/>
        <v>0</v>
      </c>
      <c r="K21" s="28" t="str">
        <f t="shared" si="6"/>
        <v>2</v>
      </c>
      <c r="L21" s="28" t="str">
        <f t="shared" si="6"/>
        <v>2</v>
      </c>
      <c r="M21" s="28" t="str">
        <f t="shared" si="6"/>
        <v>2</v>
      </c>
      <c r="N21" s="28" t="str">
        <f t="shared" si="6"/>
        <v>0</v>
      </c>
      <c r="O21" s="28" t="str">
        <f t="shared" si="6"/>
        <v>0</v>
      </c>
      <c r="P21" s="28" t="str">
        <f t="shared" si="6"/>
        <v>0</v>
      </c>
      <c r="Q21" s="28" t="str">
        <f t="shared" si="6"/>
        <v>0</v>
      </c>
      <c r="R21" s="28" t="str">
        <f t="shared" si="6"/>
        <v>0</v>
      </c>
      <c r="S21" s="28" t="str">
        <f t="shared" si="6"/>
        <v>0</v>
      </c>
      <c r="T21" s="28" t="str">
        <f t="shared" si="6"/>
        <v>0</v>
      </c>
      <c r="U21" s="28" t="str">
        <f t="shared" si="6"/>
        <v>0</v>
      </c>
      <c r="V21" s="28" t="str">
        <f t="shared" si="6"/>
        <v>0</v>
      </c>
      <c r="W21" s="28" t="str">
        <f t="shared" si="6"/>
        <v>0</v>
      </c>
      <c r="X21" s="28" t="str">
        <f t="shared" si="6"/>
        <v>0</v>
      </c>
      <c r="Y21" s="28" t="str">
        <f t="shared" si="6"/>
        <v>0</v>
      </c>
      <c r="Z21" s="28" t="str">
        <f t="shared" si="6"/>
        <v>0</v>
      </c>
      <c r="AA21" s="28" t="str">
        <f t="shared" si="6"/>
        <v>0</v>
      </c>
      <c r="AB21" s="28" t="str">
        <f t="shared" si="6"/>
        <v>0</v>
      </c>
      <c r="AC21" s="28" t="str">
        <f t="shared" si="6"/>
        <v>0</v>
      </c>
      <c r="AD21" s="28" t="str">
        <f t="shared" si="6"/>
        <v>0</v>
      </c>
      <c r="AE21" s="28" t="str">
        <f t="shared" si="6"/>
        <v>0</v>
      </c>
      <c r="AF21" s="28" t="str">
        <f t="shared" si="6"/>
        <v>0</v>
      </c>
      <c r="AG21" s="28" t="str">
        <f t="shared" si="6"/>
        <v>0</v>
      </c>
      <c r="AH21" s="28" t="str">
        <f t="shared" si="6"/>
        <v>0</v>
      </c>
      <c r="AI21" s="28" t="str">
        <f t="shared" si="6"/>
        <v>0</v>
      </c>
      <c r="AJ21" s="28" t="str">
        <f t="shared" si="6"/>
        <v>0</v>
      </c>
      <c r="AK21" s="28" t="str">
        <f t="shared" si="6"/>
        <v>0</v>
      </c>
      <c r="AL21" s="28" t="str">
        <f t="shared" si="6"/>
        <v>0</v>
      </c>
      <c r="AM21" s="28" t="str">
        <f t="shared" si="6"/>
        <v>0</v>
      </c>
      <c r="AN21" s="28" t="str">
        <f t="shared" si="6"/>
        <v>2</v>
      </c>
      <c r="AO21" s="28" t="str">
        <f t="shared" si="6"/>
        <v>2</v>
      </c>
      <c r="AP21" s="28" t="str">
        <f t="shared" si="6"/>
        <v>2</v>
      </c>
      <c r="AQ21" s="28" t="str">
        <f t="shared" si="6"/>
        <v>2</v>
      </c>
      <c r="AR21" s="28" t="str">
        <f t="shared" si="6"/>
        <v>2</v>
      </c>
      <c r="AS21" s="28" t="str">
        <f t="shared" si="6"/>
        <v>2</v>
      </c>
      <c r="AT21" s="28" t="str">
        <f t="shared" si="6"/>
        <v>0</v>
      </c>
      <c r="AU21" s="28" t="str">
        <f t="shared" si="6"/>
        <v>0</v>
      </c>
      <c r="AV21" s="28" t="str">
        <f t="shared" si="6"/>
        <v>0</v>
      </c>
      <c r="AW21" s="29" t="str">
        <f t="shared" si="6"/>
        <v>0</v>
      </c>
    </row>
    <row r="22" spans="1:49" ht="15.75" thickBot="1" x14ac:dyDescent="0.3">
      <c r="A22" s="35" t="s">
        <v>24</v>
      </c>
      <c r="B22" s="32" t="str">
        <f>IF(SUM(B10,B20) = 0, CONCATENATE(SUM(B9+B19)), CONCATENATE(SUM(B9,B19), ",", SUM(B10,B20)))</f>
        <v>6</v>
      </c>
      <c r="C22" s="33" t="str">
        <f t="shared" ref="C22:AW22" si="7">IF(SUM(C10,C20) = 0, CONCATENATE(SUM(C9+C19)), CONCATENATE(SUM(C9,C19), ",", SUM(C10,C20)))</f>
        <v>6</v>
      </c>
      <c r="D22" s="33" t="str">
        <f t="shared" si="7"/>
        <v>6</v>
      </c>
      <c r="E22" s="33" t="str">
        <f t="shared" si="7"/>
        <v>6</v>
      </c>
      <c r="F22" s="33" t="str">
        <f t="shared" si="7"/>
        <v>6</v>
      </c>
      <c r="G22" s="33" t="str">
        <f t="shared" si="7"/>
        <v>6</v>
      </c>
      <c r="H22" s="33" t="str">
        <f t="shared" si="7"/>
        <v>6</v>
      </c>
      <c r="I22" s="33" t="str">
        <f t="shared" si="7"/>
        <v>6</v>
      </c>
      <c r="J22" s="33" t="str">
        <f t="shared" si="7"/>
        <v>6</v>
      </c>
      <c r="K22" s="33" t="str">
        <f t="shared" si="7"/>
        <v>6</v>
      </c>
      <c r="L22" s="33" t="str">
        <f t="shared" si="7"/>
        <v>6</v>
      </c>
      <c r="M22" s="33" t="str">
        <f t="shared" si="7"/>
        <v>6</v>
      </c>
      <c r="N22" s="33" t="str">
        <f t="shared" si="7"/>
        <v>2</v>
      </c>
      <c r="O22" s="33" t="str">
        <f t="shared" si="7"/>
        <v>2</v>
      </c>
      <c r="P22" s="33" t="str">
        <f t="shared" si="7"/>
        <v>2</v>
      </c>
      <c r="Q22" s="33" t="str">
        <f t="shared" si="7"/>
        <v>2</v>
      </c>
      <c r="R22" s="33" t="str">
        <f t="shared" si="7"/>
        <v>2</v>
      </c>
      <c r="S22" s="33" t="str">
        <f t="shared" si="7"/>
        <v>2</v>
      </c>
      <c r="T22" s="33" t="str">
        <f t="shared" si="7"/>
        <v>2</v>
      </c>
      <c r="U22" s="33" t="str">
        <f t="shared" si="7"/>
        <v>2</v>
      </c>
      <c r="V22" s="33" t="str">
        <f t="shared" si="7"/>
        <v>2</v>
      </c>
      <c r="W22" s="33" t="str">
        <f t="shared" si="7"/>
        <v>2</v>
      </c>
      <c r="X22" s="33" t="str">
        <f t="shared" si="7"/>
        <v>4</v>
      </c>
      <c r="Y22" s="33" t="str">
        <f t="shared" si="7"/>
        <v>4</v>
      </c>
      <c r="Z22" s="33" t="str">
        <f t="shared" si="7"/>
        <v>2</v>
      </c>
      <c r="AA22" s="33" t="str">
        <f t="shared" si="7"/>
        <v>2</v>
      </c>
      <c r="AB22" s="33" t="str">
        <f t="shared" si="7"/>
        <v>2</v>
      </c>
      <c r="AC22" s="33" t="str">
        <f t="shared" si="7"/>
        <v>2</v>
      </c>
      <c r="AD22" s="33" t="str">
        <f t="shared" si="7"/>
        <v>2</v>
      </c>
      <c r="AE22" s="33" t="str">
        <f t="shared" si="7"/>
        <v>2</v>
      </c>
      <c r="AF22" s="33" t="str">
        <f t="shared" si="7"/>
        <v>2</v>
      </c>
      <c r="AG22" s="33" t="str">
        <f t="shared" si="7"/>
        <v>2</v>
      </c>
      <c r="AH22" s="33" t="str">
        <f t="shared" si="7"/>
        <v>2</v>
      </c>
      <c r="AI22" s="33" t="str">
        <f t="shared" si="7"/>
        <v>2</v>
      </c>
      <c r="AJ22" s="33" t="str">
        <f t="shared" si="7"/>
        <v>2</v>
      </c>
      <c r="AK22" s="33" t="str">
        <f t="shared" si="7"/>
        <v>4</v>
      </c>
      <c r="AL22" s="33" t="str">
        <f t="shared" si="7"/>
        <v>6</v>
      </c>
      <c r="AM22" s="33" t="str">
        <f t="shared" si="7"/>
        <v>6</v>
      </c>
      <c r="AN22" s="33" t="str">
        <f t="shared" si="7"/>
        <v>6</v>
      </c>
      <c r="AO22" s="33" t="str">
        <f t="shared" si="7"/>
        <v>6</v>
      </c>
      <c r="AP22" s="33" t="str">
        <f t="shared" si="7"/>
        <v>6</v>
      </c>
      <c r="AQ22" s="33" t="str">
        <f t="shared" si="7"/>
        <v>6</v>
      </c>
      <c r="AR22" s="33" t="str">
        <f t="shared" si="7"/>
        <v>6</v>
      </c>
      <c r="AS22" s="33" t="str">
        <f t="shared" si="7"/>
        <v>6</v>
      </c>
      <c r="AT22" s="33" t="str">
        <f t="shared" si="7"/>
        <v>6</v>
      </c>
      <c r="AU22" s="33" t="str">
        <f t="shared" si="7"/>
        <v>6</v>
      </c>
      <c r="AV22" s="33" t="str">
        <f t="shared" si="7"/>
        <v>6</v>
      </c>
      <c r="AW22" s="34" t="str">
        <f t="shared" si="7"/>
        <v>6</v>
      </c>
    </row>
  </sheetData>
  <mergeCells count="2">
    <mergeCell ref="A2:AW2"/>
    <mergeCell ref="A12:AW12"/>
  </mergeCells>
  <conditionalFormatting sqref="A1:AW1">
    <cfRule type="expression" dxfId="89" priority="38">
      <formula>#REF!&gt;=$B$1</formula>
    </cfRule>
  </conditionalFormatting>
  <conditionalFormatting sqref="B13:AW18">
    <cfRule type="cellIs" dxfId="88" priority="14" operator="equal">
      <formula>"Dcar1"</formula>
    </cfRule>
  </conditionalFormatting>
  <conditionalFormatting sqref="B9:AW10 B13:AW20">
    <cfRule type="cellIs" dxfId="87" priority="13" operator="equal">
      <formula>"DL1"</formula>
    </cfRule>
    <cfRule type="cellIs" dxfId="86" priority="15" operator="equal">
      <formula>"DL2"</formula>
    </cfRule>
    <cfRule type="cellIs" dxfId="85" priority="16" operator="equal">
      <formula>"Dcar2"</formula>
    </cfRule>
    <cfRule type="cellIs" dxfId="84" priority="17" operator="equal">
      <formula>"DL3"</formula>
    </cfRule>
    <cfRule type="cellIs" dxfId="83" priority="18" operator="equal">
      <formula>"Dcar3"</formula>
    </cfRule>
    <cfRule type="cellIs" dxfId="82" priority="19" operator="equal">
      <formula>"DL4"</formula>
    </cfRule>
    <cfRule type="cellIs" dxfId="81" priority="20" operator="equal">
      <formula>"Dcar4"</formula>
    </cfRule>
    <cfRule type="cellIs" dxfId="80" priority="21" operator="equal">
      <formula>"DL5"</formula>
    </cfRule>
    <cfRule type="cellIs" dxfId="79" priority="22" operator="equal">
      <formula>"Dcar5"</formula>
    </cfRule>
    <cfRule type="cellIs" dxfId="78" priority="23" operator="equal">
      <formula>"DL6"</formula>
    </cfRule>
    <cfRule type="cellIs" dxfId="77" priority="24" operator="equal">
      <formula>"Dcar6"</formula>
    </cfRule>
  </conditionalFormatting>
  <conditionalFormatting sqref="B9:AW10 B19:AW20">
    <cfRule type="cellIs" dxfId="76" priority="26" operator="equal">
      <formula>"Dcar1"</formula>
    </cfRule>
  </conditionalFormatting>
  <conditionalFormatting sqref="B3:AW10 B13:AW20">
    <cfRule type="cellIs" dxfId="75" priority="1" operator="equal">
      <formula>"AL1"</formula>
    </cfRule>
    <cfRule type="cellIs" dxfId="74" priority="2" operator="equal">
      <formula>"Acar1"</formula>
    </cfRule>
    <cfRule type="cellIs" dxfId="73" priority="3" operator="equal">
      <formula>"AL2"</formula>
    </cfRule>
    <cfRule type="cellIs" dxfId="72" priority="4" operator="equal">
      <formula>"Acar2"</formula>
    </cfRule>
    <cfRule type="cellIs" dxfId="71" priority="5" operator="equal">
      <formula>"AL3"</formula>
    </cfRule>
    <cfRule type="cellIs" dxfId="70" priority="6" operator="equal">
      <formula>"Acar3"</formula>
    </cfRule>
    <cfRule type="cellIs" dxfId="69" priority="7" operator="equal">
      <formula>"AL4"</formula>
    </cfRule>
    <cfRule type="cellIs" dxfId="68" priority="8" operator="equal">
      <formula>"Acar4"</formula>
    </cfRule>
    <cfRule type="cellIs" dxfId="67" priority="9" operator="equal">
      <formula>"AL5"</formula>
    </cfRule>
    <cfRule type="cellIs" dxfId="66" priority="10" operator="equal">
      <formula>"Acar5"</formula>
    </cfRule>
    <cfRule type="cellIs" dxfId="65" priority="11" operator="equal">
      <formula>"AL6"</formula>
    </cfRule>
    <cfRule type="cellIs" dxfId="64" priority="12" operator="equal">
      <formula>"Acar6"</formula>
    </cfRule>
  </conditionalFormatting>
  <pageMargins left="0.7" right="0.7" top="0.75" bottom="0.75" header="0.3" footer="0.3"/>
  <pageSetup scale="4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B43CBE-FAAE-4A9B-9C5F-F0BED31BAFA4}">
          <x14:formula1>
            <xm:f>List!$F$2:$F$19</xm:f>
          </x14:formula1>
          <xm:sqref>B13:AW18 B3:AW8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2CB38-A8EB-449E-9080-E9683C30F393}">
  <sheetPr>
    <pageSetUpPr fitToPage="1"/>
  </sheetPr>
  <dimension ref="A1:AW22"/>
  <sheetViews>
    <sheetView zoomScale="80" zoomScaleNormal="80" workbookViewId="0">
      <selection activeCell="AC32" sqref="AC32"/>
    </sheetView>
  </sheetViews>
  <sheetFormatPr defaultRowHeight="15" x14ac:dyDescent="0.25"/>
  <cols>
    <col min="1" max="1" width="11.42578125" bestFit="1" customWidth="1"/>
    <col min="2" max="49" width="6" bestFit="1" customWidth="1"/>
  </cols>
  <sheetData>
    <row r="1" spans="1:49" ht="15.75" thickBot="1" x14ac:dyDescent="0.3">
      <c r="A1" s="35" t="s">
        <v>0</v>
      </c>
      <c r="B1" s="41">
        <v>0.91666666666666663</v>
      </c>
      <c r="C1" s="42">
        <v>0.92708333333333337</v>
      </c>
      <c r="D1" s="42">
        <v>0.9375</v>
      </c>
      <c r="E1" s="43">
        <v>0.94791666666666663</v>
      </c>
      <c r="F1" s="41">
        <v>0.95833333333333404</v>
      </c>
      <c r="G1" s="42">
        <v>0.96875</v>
      </c>
      <c r="H1" s="42">
        <v>0.97916666666666696</v>
      </c>
      <c r="I1" s="43">
        <v>0.98958333333333404</v>
      </c>
      <c r="J1" s="41">
        <v>1</v>
      </c>
      <c r="K1" s="42">
        <v>1.0104166666666701</v>
      </c>
      <c r="L1" s="42">
        <v>1.0208333333333299</v>
      </c>
      <c r="M1" s="43">
        <v>1.03125</v>
      </c>
      <c r="N1" s="41">
        <v>1.0416666666666701</v>
      </c>
      <c r="O1" s="42">
        <v>1.0520833333333299</v>
      </c>
      <c r="P1" s="42">
        <v>1.0625</v>
      </c>
      <c r="Q1" s="43">
        <v>1.0729166666666701</v>
      </c>
      <c r="R1" s="41">
        <v>1.0833333333333299</v>
      </c>
      <c r="S1" s="42">
        <v>1.09375</v>
      </c>
      <c r="T1" s="42">
        <v>1.1041666666666701</v>
      </c>
      <c r="U1" s="43">
        <v>1.1145833333333299</v>
      </c>
      <c r="V1" s="41">
        <v>1.125</v>
      </c>
      <c r="W1" s="42">
        <v>1.1354166666666701</v>
      </c>
      <c r="X1" s="42">
        <v>1.1458333333333299</v>
      </c>
      <c r="Y1" s="43">
        <v>1.15625</v>
      </c>
      <c r="Z1" s="41">
        <v>1.1666666666666701</v>
      </c>
      <c r="AA1" s="42">
        <v>1.1770833333333399</v>
      </c>
      <c r="AB1" s="42">
        <v>1.1875</v>
      </c>
      <c r="AC1" s="43">
        <v>1.1979166666666701</v>
      </c>
      <c r="AD1" s="41">
        <v>1.2083333333333399</v>
      </c>
      <c r="AE1" s="42">
        <v>1.21875</v>
      </c>
      <c r="AF1" s="42">
        <v>1.2291666666666701</v>
      </c>
      <c r="AG1" s="43">
        <v>1.2395833333333399</v>
      </c>
      <c r="AH1" s="41">
        <v>1.25</v>
      </c>
      <c r="AI1" s="42">
        <v>1.2604166666666701</v>
      </c>
      <c r="AJ1" s="42">
        <v>1.2708333333333399</v>
      </c>
      <c r="AK1" s="43">
        <v>1.28125</v>
      </c>
      <c r="AL1" s="41">
        <v>1.2916666666666701</v>
      </c>
      <c r="AM1" s="42">
        <v>1.3020833333333399</v>
      </c>
      <c r="AN1" s="42">
        <v>1.3125</v>
      </c>
      <c r="AO1" s="43">
        <v>1.3229166666666701</v>
      </c>
      <c r="AP1" s="41">
        <v>1.3333333333333399</v>
      </c>
      <c r="AQ1" s="42">
        <v>1.34375</v>
      </c>
      <c r="AR1" s="42">
        <v>1.3541666666666701</v>
      </c>
      <c r="AS1" s="43">
        <v>1.3645833333333399</v>
      </c>
      <c r="AT1" s="41">
        <v>1.375</v>
      </c>
      <c r="AU1" s="42">
        <v>1.3854166666666701</v>
      </c>
      <c r="AV1" s="42">
        <v>1.3958333333333399</v>
      </c>
      <c r="AW1" s="43">
        <v>1.40625</v>
      </c>
    </row>
    <row r="2" spans="1:49" ht="15.75" thickBot="1" x14ac:dyDescent="0.3">
      <c r="A2" s="37" t="s">
        <v>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9"/>
    </row>
    <row r="3" spans="1:49" x14ac:dyDescent="0.25">
      <c r="A3" s="7" t="s">
        <v>28</v>
      </c>
      <c r="B3" s="21" t="s">
        <v>28</v>
      </c>
      <c r="C3" s="18" t="s">
        <v>28</v>
      </c>
      <c r="D3" s="18" t="s">
        <v>28</v>
      </c>
      <c r="E3" s="18" t="s">
        <v>28</v>
      </c>
      <c r="F3" s="18" t="s">
        <v>28</v>
      </c>
      <c r="G3" s="18" t="s">
        <v>2</v>
      </c>
      <c r="H3" s="18" t="s">
        <v>28</v>
      </c>
      <c r="I3" s="18" t="s">
        <v>28</v>
      </c>
      <c r="J3" s="18" t="s">
        <v>28</v>
      </c>
      <c r="K3" s="18" t="s">
        <v>28</v>
      </c>
      <c r="L3" s="18" t="s">
        <v>28</v>
      </c>
      <c r="M3" s="18" t="s">
        <v>28</v>
      </c>
      <c r="N3" s="18" t="s">
        <v>2</v>
      </c>
      <c r="O3" s="18" t="s">
        <v>2</v>
      </c>
      <c r="P3" s="18" t="s">
        <v>2</v>
      </c>
      <c r="Q3" s="18" t="s">
        <v>2</v>
      </c>
      <c r="R3" s="18" t="s">
        <v>2</v>
      </c>
      <c r="S3" s="18" t="s">
        <v>2</v>
      </c>
      <c r="T3" s="18" t="s">
        <v>2</v>
      </c>
      <c r="U3" s="18" t="s">
        <v>2</v>
      </c>
      <c r="V3" s="18" t="s">
        <v>2</v>
      </c>
      <c r="W3" s="18" t="s">
        <v>2</v>
      </c>
      <c r="X3" s="18" t="s">
        <v>28</v>
      </c>
      <c r="Y3" s="18" t="s">
        <v>28</v>
      </c>
      <c r="Z3" s="18" t="s">
        <v>28</v>
      </c>
      <c r="AA3" s="18" t="s">
        <v>28</v>
      </c>
      <c r="AB3" s="18" t="s">
        <v>28</v>
      </c>
      <c r="AC3" s="18" t="s">
        <v>28</v>
      </c>
      <c r="AD3" s="18" t="s">
        <v>28</v>
      </c>
      <c r="AE3" s="18" t="s">
        <v>28</v>
      </c>
      <c r="AF3" s="18" t="s">
        <v>28</v>
      </c>
      <c r="AG3" s="18" t="s">
        <v>28</v>
      </c>
      <c r="AH3" s="18" t="s">
        <v>2</v>
      </c>
      <c r="AI3" s="18" t="s">
        <v>2</v>
      </c>
      <c r="AJ3" s="18" t="s">
        <v>28</v>
      </c>
      <c r="AK3" s="18" t="s">
        <v>28</v>
      </c>
      <c r="AL3" s="18" t="s">
        <v>28</v>
      </c>
      <c r="AM3" s="18" t="s">
        <v>28</v>
      </c>
      <c r="AN3" s="18" t="s">
        <v>28</v>
      </c>
      <c r="AO3" s="18" t="s">
        <v>28</v>
      </c>
      <c r="AP3" s="18" t="s">
        <v>28</v>
      </c>
      <c r="AQ3" s="18" t="s">
        <v>28</v>
      </c>
      <c r="AR3" s="18" t="s">
        <v>2</v>
      </c>
      <c r="AS3" s="18" t="s">
        <v>2</v>
      </c>
      <c r="AT3" s="18" t="s">
        <v>28</v>
      </c>
      <c r="AU3" s="18" t="s">
        <v>28</v>
      </c>
      <c r="AV3" s="18" t="s">
        <v>28</v>
      </c>
      <c r="AW3" s="22" t="s">
        <v>28</v>
      </c>
    </row>
    <row r="4" spans="1:49" x14ac:dyDescent="0.25">
      <c r="A4" s="8" t="s">
        <v>29</v>
      </c>
      <c r="B4" s="23" t="s">
        <v>29</v>
      </c>
      <c r="C4" s="19" t="s">
        <v>29</v>
      </c>
      <c r="D4" s="19" t="s">
        <v>29</v>
      </c>
      <c r="E4" s="19" t="s">
        <v>29</v>
      </c>
      <c r="F4" s="19" t="s">
        <v>29</v>
      </c>
      <c r="G4" s="19" t="s">
        <v>29</v>
      </c>
      <c r="H4" s="19" t="s">
        <v>29</v>
      </c>
      <c r="I4" s="19" t="s">
        <v>29</v>
      </c>
      <c r="J4" s="19" t="s">
        <v>29</v>
      </c>
      <c r="K4" s="19" t="s">
        <v>2</v>
      </c>
      <c r="L4" s="19" t="s">
        <v>2</v>
      </c>
      <c r="M4" s="19" t="s">
        <v>2</v>
      </c>
      <c r="N4" s="19" t="s">
        <v>29</v>
      </c>
      <c r="O4" s="19" t="s">
        <v>29</v>
      </c>
      <c r="P4" s="19" t="s">
        <v>29</v>
      </c>
      <c r="Q4" s="19" t="s">
        <v>29</v>
      </c>
      <c r="R4" s="19" t="s">
        <v>29</v>
      </c>
      <c r="S4" s="19" t="s">
        <v>29</v>
      </c>
      <c r="T4" s="19" t="s">
        <v>29</v>
      </c>
      <c r="U4" s="19" t="s">
        <v>29</v>
      </c>
      <c r="V4" s="19" t="s">
        <v>29</v>
      </c>
      <c r="W4" s="19" t="s">
        <v>29</v>
      </c>
      <c r="X4" s="19" t="s">
        <v>2</v>
      </c>
      <c r="Y4" s="19" t="s">
        <v>2</v>
      </c>
      <c r="Z4" s="19" t="s">
        <v>2</v>
      </c>
      <c r="AA4" s="19" t="s">
        <v>2</v>
      </c>
      <c r="AB4" s="19" t="s">
        <v>2</v>
      </c>
      <c r="AC4" s="19" t="s">
        <v>2</v>
      </c>
      <c r="AD4" s="19" t="s">
        <v>2</v>
      </c>
      <c r="AE4" s="19" t="s">
        <v>2</v>
      </c>
      <c r="AF4" s="19" t="s">
        <v>2</v>
      </c>
      <c r="AG4" s="19" t="s">
        <v>2</v>
      </c>
      <c r="AH4" s="19" t="s">
        <v>29</v>
      </c>
      <c r="AI4" s="19" t="s">
        <v>29</v>
      </c>
      <c r="AJ4" s="19" t="s">
        <v>29</v>
      </c>
      <c r="AK4" s="19" t="s">
        <v>29</v>
      </c>
      <c r="AL4" s="19" t="s">
        <v>29</v>
      </c>
      <c r="AM4" s="19" t="s">
        <v>29</v>
      </c>
      <c r="AN4" s="19" t="s">
        <v>29</v>
      </c>
      <c r="AO4" s="19" t="s">
        <v>29</v>
      </c>
      <c r="AP4" s="19" t="s">
        <v>2</v>
      </c>
      <c r="AQ4" s="19" t="s">
        <v>2</v>
      </c>
      <c r="AR4" s="19" t="s">
        <v>29</v>
      </c>
      <c r="AS4" s="19" t="s">
        <v>29</v>
      </c>
      <c r="AT4" s="19" t="s">
        <v>29</v>
      </c>
      <c r="AU4" s="19" t="s">
        <v>29</v>
      </c>
      <c r="AV4" s="19" t="s">
        <v>29</v>
      </c>
      <c r="AW4" s="24" t="s">
        <v>29</v>
      </c>
    </row>
    <row r="5" spans="1:49" x14ac:dyDescent="0.25">
      <c r="A5" s="8" t="s">
        <v>30</v>
      </c>
      <c r="B5" s="23" t="s">
        <v>30</v>
      </c>
      <c r="C5" s="19" t="s">
        <v>30</v>
      </c>
      <c r="D5" s="19" t="s">
        <v>30</v>
      </c>
      <c r="E5" s="19" t="s">
        <v>30</v>
      </c>
      <c r="F5" s="19" t="s">
        <v>30</v>
      </c>
      <c r="G5" s="19" t="s">
        <v>30</v>
      </c>
      <c r="H5" s="19" t="s">
        <v>2</v>
      </c>
      <c r="I5" s="19" t="s">
        <v>30</v>
      </c>
      <c r="J5" s="19" t="s">
        <v>30</v>
      </c>
      <c r="K5" s="19" t="s">
        <v>30</v>
      </c>
      <c r="L5" s="19" t="s">
        <v>30</v>
      </c>
      <c r="M5" s="19" t="s">
        <v>30</v>
      </c>
      <c r="N5" s="19" t="s">
        <v>2</v>
      </c>
      <c r="O5" s="19" t="s">
        <v>2</v>
      </c>
      <c r="P5" s="19" t="s">
        <v>2</v>
      </c>
      <c r="Q5" s="19" t="s">
        <v>2</v>
      </c>
      <c r="R5" s="19" t="s">
        <v>2</v>
      </c>
      <c r="S5" s="19" t="s">
        <v>2</v>
      </c>
      <c r="T5" s="19" t="s">
        <v>2</v>
      </c>
      <c r="U5" s="19" t="s">
        <v>2</v>
      </c>
      <c r="V5" s="19" t="s">
        <v>2</v>
      </c>
      <c r="W5" s="19" t="s">
        <v>2</v>
      </c>
      <c r="X5" s="19" t="s">
        <v>30</v>
      </c>
      <c r="Y5" s="19" t="s">
        <v>30</v>
      </c>
      <c r="Z5" s="19" t="s">
        <v>30</v>
      </c>
      <c r="AA5" s="19" t="s">
        <v>30</v>
      </c>
      <c r="AB5" s="19" t="s">
        <v>30</v>
      </c>
      <c r="AC5" s="19" t="s">
        <v>30</v>
      </c>
      <c r="AD5" s="19" t="s">
        <v>30</v>
      </c>
      <c r="AE5" s="19" t="s">
        <v>30</v>
      </c>
      <c r="AF5" s="19" t="s">
        <v>2</v>
      </c>
      <c r="AG5" s="19" t="s">
        <v>2</v>
      </c>
      <c r="AH5" s="19" t="s">
        <v>33</v>
      </c>
      <c r="AI5" s="19" t="s">
        <v>33</v>
      </c>
      <c r="AJ5" s="19" t="s">
        <v>30</v>
      </c>
      <c r="AK5" s="19" t="s">
        <v>30</v>
      </c>
      <c r="AL5" s="19" t="s">
        <v>30</v>
      </c>
      <c r="AM5" s="19" t="s">
        <v>30</v>
      </c>
      <c r="AN5" s="19" t="s">
        <v>2</v>
      </c>
      <c r="AO5" s="19" t="s">
        <v>2</v>
      </c>
      <c r="AP5" s="19" t="s">
        <v>30</v>
      </c>
      <c r="AQ5" s="19" t="s">
        <v>30</v>
      </c>
      <c r="AR5" s="19" t="s">
        <v>30</v>
      </c>
      <c r="AS5" s="19" t="s">
        <v>30</v>
      </c>
      <c r="AT5" s="19" t="s">
        <v>30</v>
      </c>
      <c r="AU5" s="19" t="s">
        <v>30</v>
      </c>
      <c r="AV5" s="19" t="s">
        <v>30</v>
      </c>
      <c r="AW5" s="24" t="s">
        <v>30</v>
      </c>
    </row>
    <row r="6" spans="1:49" x14ac:dyDescent="0.25">
      <c r="A6" s="8" t="s">
        <v>31</v>
      </c>
      <c r="B6" s="23" t="s">
        <v>31</v>
      </c>
      <c r="C6" s="19" t="s">
        <v>31</v>
      </c>
      <c r="D6" s="19" t="s">
        <v>31</v>
      </c>
      <c r="E6" s="19" t="s">
        <v>31</v>
      </c>
      <c r="F6" s="19" t="s">
        <v>31</v>
      </c>
      <c r="G6" s="19" t="s">
        <v>2</v>
      </c>
      <c r="H6" s="19" t="s">
        <v>31</v>
      </c>
      <c r="I6" s="19" t="s">
        <v>31</v>
      </c>
      <c r="J6" s="19" t="s">
        <v>31</v>
      </c>
      <c r="K6" s="19" t="s">
        <v>31</v>
      </c>
      <c r="L6" s="19" t="s">
        <v>31</v>
      </c>
      <c r="M6" s="19" t="s">
        <v>31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31</v>
      </c>
      <c r="Y6" s="19" t="s">
        <v>31</v>
      </c>
      <c r="Z6" s="19" t="s">
        <v>31</v>
      </c>
      <c r="AA6" s="19" t="s">
        <v>31</v>
      </c>
      <c r="AB6" s="19" t="s">
        <v>31</v>
      </c>
      <c r="AC6" s="19" t="s">
        <v>31</v>
      </c>
      <c r="AD6" s="19" t="s">
        <v>31</v>
      </c>
      <c r="AE6" s="19" t="s">
        <v>31</v>
      </c>
      <c r="AF6" s="19" t="s">
        <v>2</v>
      </c>
      <c r="AG6" s="19" t="s">
        <v>2</v>
      </c>
      <c r="AH6" s="19" t="s">
        <v>31</v>
      </c>
      <c r="AI6" s="19" t="s">
        <v>31</v>
      </c>
      <c r="AJ6" s="19" t="s">
        <v>31</v>
      </c>
      <c r="AK6" s="19" t="s">
        <v>31</v>
      </c>
      <c r="AL6" s="19" t="s">
        <v>31</v>
      </c>
      <c r="AM6" s="19" t="s">
        <v>31</v>
      </c>
      <c r="AN6" s="19" t="s">
        <v>2</v>
      </c>
      <c r="AO6" s="19" t="s">
        <v>2</v>
      </c>
      <c r="AP6" s="19" t="s">
        <v>31</v>
      </c>
      <c r="AQ6" s="19" t="s">
        <v>31</v>
      </c>
      <c r="AR6" s="19" t="s">
        <v>31</v>
      </c>
      <c r="AS6" s="19" t="s">
        <v>31</v>
      </c>
      <c r="AT6" s="19" t="s">
        <v>31</v>
      </c>
      <c r="AU6" s="19" t="s">
        <v>31</v>
      </c>
      <c r="AV6" s="19" t="s">
        <v>31</v>
      </c>
      <c r="AW6" s="24" t="s">
        <v>31</v>
      </c>
    </row>
    <row r="7" spans="1:49" x14ac:dyDescent="0.25">
      <c r="A7" s="8" t="s">
        <v>32</v>
      </c>
      <c r="B7" s="23" t="s">
        <v>32</v>
      </c>
      <c r="C7" s="19" t="s">
        <v>32</v>
      </c>
      <c r="D7" s="19" t="s">
        <v>32</v>
      </c>
      <c r="E7" s="19" t="s">
        <v>32</v>
      </c>
      <c r="F7" s="19" t="s">
        <v>32</v>
      </c>
      <c r="G7" s="19" t="s">
        <v>32</v>
      </c>
      <c r="H7" s="19" t="s">
        <v>2</v>
      </c>
      <c r="I7" s="19" t="s">
        <v>32</v>
      </c>
      <c r="J7" s="19" t="s">
        <v>32</v>
      </c>
      <c r="K7" s="19" t="s">
        <v>32</v>
      </c>
      <c r="L7" s="19" t="s">
        <v>32</v>
      </c>
      <c r="M7" s="19" t="s">
        <v>32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29</v>
      </c>
      <c r="Y7" s="19" t="s">
        <v>29</v>
      </c>
      <c r="Z7" s="19" t="s">
        <v>29</v>
      </c>
      <c r="AA7" s="19" t="s">
        <v>29</v>
      </c>
      <c r="AB7" s="19" t="s">
        <v>29</v>
      </c>
      <c r="AC7" s="19" t="s">
        <v>29</v>
      </c>
      <c r="AD7" s="19" t="s">
        <v>29</v>
      </c>
      <c r="AE7" s="19" t="s">
        <v>29</v>
      </c>
      <c r="AF7" s="19" t="s">
        <v>29</v>
      </c>
      <c r="AG7" s="19" t="s">
        <v>29</v>
      </c>
      <c r="AH7" s="19" t="s">
        <v>2</v>
      </c>
      <c r="AI7" s="19" t="s">
        <v>2</v>
      </c>
      <c r="AJ7" s="19" t="s">
        <v>32</v>
      </c>
      <c r="AK7" s="19" t="s">
        <v>32</v>
      </c>
      <c r="AL7" s="19" t="s">
        <v>32</v>
      </c>
      <c r="AM7" s="19" t="s">
        <v>32</v>
      </c>
      <c r="AN7" s="19" t="s">
        <v>32</v>
      </c>
      <c r="AO7" s="19" t="s">
        <v>32</v>
      </c>
      <c r="AP7" s="19" t="s">
        <v>32</v>
      </c>
      <c r="AQ7" s="19" t="s">
        <v>32</v>
      </c>
      <c r="AR7" s="19" t="s">
        <v>2</v>
      </c>
      <c r="AS7" s="19" t="s">
        <v>2</v>
      </c>
      <c r="AT7" s="19" t="s">
        <v>32</v>
      </c>
      <c r="AU7" s="19" t="s">
        <v>32</v>
      </c>
      <c r="AV7" s="19" t="s">
        <v>32</v>
      </c>
      <c r="AW7" s="24" t="s">
        <v>32</v>
      </c>
    </row>
    <row r="8" spans="1:49" ht="15.75" thickBot="1" x14ac:dyDescent="0.3">
      <c r="A8" s="8" t="s">
        <v>33</v>
      </c>
      <c r="B8" s="25" t="s">
        <v>33</v>
      </c>
      <c r="C8" s="26" t="s">
        <v>33</v>
      </c>
      <c r="D8" s="26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6" t="s">
        <v>33</v>
      </c>
      <c r="J8" s="26" t="s">
        <v>33</v>
      </c>
      <c r="K8" s="26" t="s">
        <v>2</v>
      </c>
      <c r="L8" s="26" t="s">
        <v>2</v>
      </c>
      <c r="M8" s="26" t="s">
        <v>2</v>
      </c>
      <c r="N8" s="26" t="s">
        <v>28</v>
      </c>
      <c r="O8" s="26" t="s">
        <v>28</v>
      </c>
      <c r="P8" s="26" t="s">
        <v>28</v>
      </c>
      <c r="Q8" s="26" t="s">
        <v>28</v>
      </c>
      <c r="R8" s="26" t="s">
        <v>28</v>
      </c>
      <c r="S8" s="26" t="s">
        <v>28</v>
      </c>
      <c r="T8" s="26" t="s">
        <v>28</v>
      </c>
      <c r="U8" s="26" t="s">
        <v>28</v>
      </c>
      <c r="V8" s="26" t="s">
        <v>28</v>
      </c>
      <c r="W8" s="26" t="s">
        <v>28</v>
      </c>
      <c r="X8" s="26" t="s">
        <v>2</v>
      </c>
      <c r="Y8" s="26" t="s">
        <v>2</v>
      </c>
      <c r="Z8" s="26" t="s">
        <v>2</v>
      </c>
      <c r="AA8" s="26" t="s">
        <v>2</v>
      </c>
      <c r="AB8" s="26" t="s">
        <v>2</v>
      </c>
      <c r="AC8" s="26" t="s">
        <v>2</v>
      </c>
      <c r="AD8" s="26" t="s">
        <v>2</v>
      </c>
      <c r="AE8" s="26" t="s">
        <v>2</v>
      </c>
      <c r="AF8" s="26" t="s">
        <v>2</v>
      </c>
      <c r="AG8" s="26" t="s">
        <v>2</v>
      </c>
      <c r="AH8" s="26" t="s">
        <v>28</v>
      </c>
      <c r="AI8" s="26" t="s">
        <v>28</v>
      </c>
      <c r="AJ8" s="26" t="s">
        <v>33</v>
      </c>
      <c r="AK8" s="26" t="s">
        <v>33</v>
      </c>
      <c r="AL8" s="26" t="s">
        <v>33</v>
      </c>
      <c r="AM8" s="26" t="s">
        <v>33</v>
      </c>
      <c r="AN8" s="26" t="s">
        <v>33</v>
      </c>
      <c r="AO8" s="26" t="s">
        <v>33</v>
      </c>
      <c r="AP8" s="26" t="s">
        <v>2</v>
      </c>
      <c r="AQ8" s="26" t="s">
        <v>2</v>
      </c>
      <c r="AR8" s="26" t="s">
        <v>33</v>
      </c>
      <c r="AS8" s="26" t="s">
        <v>33</v>
      </c>
      <c r="AT8" s="26" t="s">
        <v>33</v>
      </c>
      <c r="AU8" s="26" t="s">
        <v>33</v>
      </c>
      <c r="AV8" s="26" t="s">
        <v>33</v>
      </c>
      <c r="AW8" s="27" t="s">
        <v>33</v>
      </c>
    </row>
    <row r="9" spans="1:49" ht="15.75" thickBot="1" x14ac:dyDescent="0.3">
      <c r="A9" s="40" t="s">
        <v>22</v>
      </c>
      <c r="B9" s="30">
        <f>SUM(COUNTIF(B3:B8,"=AL*"))</f>
        <v>6</v>
      </c>
      <c r="C9" s="30">
        <f t="shared" ref="C9:AW9" si="0">SUM(COUNTIF(C3:C8,"=AL*"))</f>
        <v>6</v>
      </c>
      <c r="D9" s="30">
        <f t="shared" si="0"/>
        <v>6</v>
      </c>
      <c r="E9" s="30">
        <f t="shared" si="0"/>
        <v>6</v>
      </c>
      <c r="F9" s="30">
        <f t="shared" si="0"/>
        <v>6</v>
      </c>
      <c r="G9" s="30">
        <f t="shared" si="0"/>
        <v>4</v>
      </c>
      <c r="H9" s="30">
        <f t="shared" si="0"/>
        <v>4</v>
      </c>
      <c r="I9" s="30">
        <f t="shared" si="0"/>
        <v>6</v>
      </c>
      <c r="J9" s="30">
        <f t="shared" si="0"/>
        <v>6</v>
      </c>
      <c r="K9" s="30">
        <f t="shared" si="0"/>
        <v>4</v>
      </c>
      <c r="L9" s="30">
        <f t="shared" si="0"/>
        <v>4</v>
      </c>
      <c r="M9" s="30">
        <f t="shared" si="0"/>
        <v>4</v>
      </c>
      <c r="N9" s="30">
        <f t="shared" si="0"/>
        <v>2</v>
      </c>
      <c r="O9" s="30">
        <f t="shared" si="0"/>
        <v>2</v>
      </c>
      <c r="P9" s="30">
        <f t="shared" si="0"/>
        <v>2</v>
      </c>
      <c r="Q9" s="30">
        <f t="shared" si="0"/>
        <v>2</v>
      </c>
      <c r="R9" s="30">
        <f t="shared" si="0"/>
        <v>2</v>
      </c>
      <c r="S9" s="30">
        <f t="shared" si="0"/>
        <v>2</v>
      </c>
      <c r="T9" s="30">
        <f t="shared" si="0"/>
        <v>2</v>
      </c>
      <c r="U9" s="30">
        <f t="shared" si="0"/>
        <v>2</v>
      </c>
      <c r="V9" s="30">
        <f t="shared" si="0"/>
        <v>2</v>
      </c>
      <c r="W9" s="30">
        <f t="shared" si="0"/>
        <v>2</v>
      </c>
      <c r="X9" s="30">
        <f t="shared" si="0"/>
        <v>4</v>
      </c>
      <c r="Y9" s="30">
        <f t="shared" si="0"/>
        <v>4</v>
      </c>
      <c r="Z9" s="30">
        <f t="shared" si="0"/>
        <v>4</v>
      </c>
      <c r="AA9" s="30">
        <f t="shared" si="0"/>
        <v>4</v>
      </c>
      <c r="AB9" s="30">
        <f t="shared" si="0"/>
        <v>4</v>
      </c>
      <c r="AC9" s="30">
        <f t="shared" si="0"/>
        <v>4</v>
      </c>
      <c r="AD9" s="30">
        <f t="shared" si="0"/>
        <v>4</v>
      </c>
      <c r="AE9" s="30">
        <f t="shared" si="0"/>
        <v>4</v>
      </c>
      <c r="AF9" s="30">
        <f t="shared" si="0"/>
        <v>2</v>
      </c>
      <c r="AG9" s="30">
        <f t="shared" si="0"/>
        <v>2</v>
      </c>
      <c r="AH9" s="30">
        <f t="shared" si="0"/>
        <v>4</v>
      </c>
      <c r="AI9" s="30">
        <f t="shared" si="0"/>
        <v>4</v>
      </c>
      <c r="AJ9" s="30">
        <f t="shared" si="0"/>
        <v>6</v>
      </c>
      <c r="AK9" s="30">
        <f t="shared" si="0"/>
        <v>6</v>
      </c>
      <c r="AL9" s="30">
        <f t="shared" si="0"/>
        <v>6</v>
      </c>
      <c r="AM9" s="30">
        <f t="shared" si="0"/>
        <v>6</v>
      </c>
      <c r="AN9" s="30">
        <f t="shared" si="0"/>
        <v>4</v>
      </c>
      <c r="AO9" s="30">
        <f t="shared" si="0"/>
        <v>4</v>
      </c>
      <c r="AP9" s="30">
        <f t="shared" si="0"/>
        <v>4</v>
      </c>
      <c r="AQ9" s="30">
        <f t="shared" si="0"/>
        <v>4</v>
      </c>
      <c r="AR9" s="30">
        <f t="shared" si="0"/>
        <v>4</v>
      </c>
      <c r="AS9" s="30">
        <f t="shared" si="0"/>
        <v>4</v>
      </c>
      <c r="AT9" s="30">
        <f t="shared" si="0"/>
        <v>6</v>
      </c>
      <c r="AU9" s="30">
        <f t="shared" si="0"/>
        <v>6</v>
      </c>
      <c r="AV9" s="30">
        <f t="shared" si="0"/>
        <v>6</v>
      </c>
      <c r="AW9" s="31">
        <f t="shared" si="0"/>
        <v>6</v>
      </c>
    </row>
    <row r="10" spans="1:49" ht="15.75" thickBot="1" x14ac:dyDescent="0.3">
      <c r="A10" s="40" t="s">
        <v>23</v>
      </c>
      <c r="B10" s="30">
        <f>SUM(COUNTIF(B3:B8,"=Acar*"))</f>
        <v>0</v>
      </c>
      <c r="C10" s="30">
        <f t="shared" ref="C10:AW10" si="1">SUM(COUNTIF(C3:C8,"=Acar*"))</f>
        <v>0</v>
      </c>
      <c r="D10" s="30">
        <f t="shared" si="1"/>
        <v>0</v>
      </c>
      <c r="E10" s="30">
        <f t="shared" si="1"/>
        <v>0</v>
      </c>
      <c r="F10" s="30">
        <f t="shared" si="1"/>
        <v>0</v>
      </c>
      <c r="G10" s="30">
        <f t="shared" si="1"/>
        <v>0</v>
      </c>
      <c r="H10" s="30">
        <f t="shared" si="1"/>
        <v>0</v>
      </c>
      <c r="I10" s="30">
        <f t="shared" si="1"/>
        <v>0</v>
      </c>
      <c r="J10" s="30">
        <f t="shared" si="1"/>
        <v>0</v>
      </c>
      <c r="K10" s="30">
        <f t="shared" si="1"/>
        <v>0</v>
      </c>
      <c r="L10" s="30">
        <f t="shared" si="1"/>
        <v>0</v>
      </c>
      <c r="M10" s="30">
        <f t="shared" si="1"/>
        <v>0</v>
      </c>
      <c r="N10" s="30">
        <f t="shared" si="1"/>
        <v>0</v>
      </c>
      <c r="O10" s="30">
        <f t="shared" si="1"/>
        <v>0</v>
      </c>
      <c r="P10" s="30">
        <f t="shared" si="1"/>
        <v>0</v>
      </c>
      <c r="Q10" s="30">
        <f t="shared" si="1"/>
        <v>0</v>
      </c>
      <c r="R10" s="30">
        <f t="shared" si="1"/>
        <v>0</v>
      </c>
      <c r="S10" s="30">
        <f t="shared" si="1"/>
        <v>0</v>
      </c>
      <c r="T10" s="30">
        <f t="shared" si="1"/>
        <v>0</v>
      </c>
      <c r="U10" s="30">
        <f t="shared" si="1"/>
        <v>0</v>
      </c>
      <c r="V10" s="30">
        <f t="shared" si="1"/>
        <v>0</v>
      </c>
      <c r="W10" s="30">
        <f t="shared" si="1"/>
        <v>0</v>
      </c>
      <c r="X10" s="30">
        <f t="shared" si="1"/>
        <v>0</v>
      </c>
      <c r="Y10" s="30">
        <f t="shared" si="1"/>
        <v>0</v>
      </c>
      <c r="Z10" s="30">
        <f t="shared" si="1"/>
        <v>0</v>
      </c>
      <c r="AA10" s="30">
        <f t="shared" si="1"/>
        <v>0</v>
      </c>
      <c r="AB10" s="30">
        <f t="shared" si="1"/>
        <v>0</v>
      </c>
      <c r="AC10" s="30">
        <f t="shared" si="1"/>
        <v>0</v>
      </c>
      <c r="AD10" s="30">
        <f t="shared" si="1"/>
        <v>0</v>
      </c>
      <c r="AE10" s="30">
        <f t="shared" si="1"/>
        <v>0</v>
      </c>
      <c r="AF10" s="30">
        <f t="shared" si="1"/>
        <v>0</v>
      </c>
      <c r="AG10" s="30">
        <f t="shared" si="1"/>
        <v>0</v>
      </c>
      <c r="AH10" s="30">
        <f t="shared" si="1"/>
        <v>0</v>
      </c>
      <c r="AI10" s="30">
        <f t="shared" si="1"/>
        <v>0</v>
      </c>
      <c r="AJ10" s="30">
        <f t="shared" si="1"/>
        <v>0</v>
      </c>
      <c r="AK10" s="30">
        <f t="shared" si="1"/>
        <v>0</v>
      </c>
      <c r="AL10" s="30">
        <f t="shared" si="1"/>
        <v>0</v>
      </c>
      <c r="AM10" s="30">
        <f t="shared" si="1"/>
        <v>0</v>
      </c>
      <c r="AN10" s="30">
        <f t="shared" si="1"/>
        <v>0</v>
      </c>
      <c r="AO10" s="30">
        <f t="shared" si="1"/>
        <v>0</v>
      </c>
      <c r="AP10" s="30">
        <f t="shared" si="1"/>
        <v>0</v>
      </c>
      <c r="AQ10" s="30">
        <f t="shared" si="1"/>
        <v>0</v>
      </c>
      <c r="AR10" s="30">
        <f t="shared" si="1"/>
        <v>0</v>
      </c>
      <c r="AS10" s="30">
        <f t="shared" si="1"/>
        <v>0</v>
      </c>
      <c r="AT10" s="30">
        <f t="shared" si="1"/>
        <v>0</v>
      </c>
      <c r="AU10" s="30">
        <f t="shared" si="1"/>
        <v>0</v>
      </c>
      <c r="AV10" s="30">
        <f t="shared" si="1"/>
        <v>0</v>
      </c>
      <c r="AW10" s="31">
        <f t="shared" si="1"/>
        <v>0</v>
      </c>
    </row>
    <row r="11" spans="1:49" ht="15.75" thickBot="1" x14ac:dyDescent="0.3">
      <c r="A11" s="40" t="s">
        <v>1</v>
      </c>
      <c r="B11" s="28" t="str">
        <f>IF(B10=0, CONCATENATE(B9), CONCATENATE(B9, ",",B10))</f>
        <v>6</v>
      </c>
      <c r="C11" s="28" t="str">
        <f t="shared" ref="C11:AW11" si="2">IF(C10=0, CONCATENATE(C9), CONCATENATE(C9, ",",C10))</f>
        <v>6</v>
      </c>
      <c r="D11" s="28" t="str">
        <f t="shared" si="2"/>
        <v>6</v>
      </c>
      <c r="E11" s="28" t="str">
        <f t="shared" si="2"/>
        <v>6</v>
      </c>
      <c r="F11" s="28" t="str">
        <f t="shared" si="2"/>
        <v>6</v>
      </c>
      <c r="G11" s="28" t="str">
        <f t="shared" si="2"/>
        <v>4</v>
      </c>
      <c r="H11" s="28" t="str">
        <f t="shared" si="2"/>
        <v>4</v>
      </c>
      <c r="I11" s="28" t="str">
        <f t="shared" si="2"/>
        <v>6</v>
      </c>
      <c r="J11" s="28" t="str">
        <f t="shared" si="2"/>
        <v>6</v>
      </c>
      <c r="K11" s="28" t="str">
        <f t="shared" si="2"/>
        <v>4</v>
      </c>
      <c r="L11" s="28" t="str">
        <f t="shared" si="2"/>
        <v>4</v>
      </c>
      <c r="M11" s="28" t="str">
        <f t="shared" si="2"/>
        <v>4</v>
      </c>
      <c r="N11" s="28" t="str">
        <f t="shared" si="2"/>
        <v>2</v>
      </c>
      <c r="O11" s="28" t="str">
        <f t="shared" si="2"/>
        <v>2</v>
      </c>
      <c r="P11" s="28" t="str">
        <f t="shared" si="2"/>
        <v>2</v>
      </c>
      <c r="Q11" s="28" t="str">
        <f t="shared" si="2"/>
        <v>2</v>
      </c>
      <c r="R11" s="28" t="str">
        <f t="shared" si="2"/>
        <v>2</v>
      </c>
      <c r="S11" s="28" t="str">
        <f t="shared" si="2"/>
        <v>2</v>
      </c>
      <c r="T11" s="28" t="str">
        <f t="shared" si="2"/>
        <v>2</v>
      </c>
      <c r="U11" s="28" t="str">
        <f t="shared" si="2"/>
        <v>2</v>
      </c>
      <c r="V11" s="28" t="str">
        <f t="shared" si="2"/>
        <v>2</v>
      </c>
      <c r="W11" s="28" t="str">
        <f t="shared" si="2"/>
        <v>2</v>
      </c>
      <c r="X11" s="28" t="str">
        <f t="shared" si="2"/>
        <v>4</v>
      </c>
      <c r="Y11" s="28" t="str">
        <f t="shared" si="2"/>
        <v>4</v>
      </c>
      <c r="Z11" s="28" t="str">
        <f t="shared" si="2"/>
        <v>4</v>
      </c>
      <c r="AA11" s="28" t="str">
        <f t="shared" si="2"/>
        <v>4</v>
      </c>
      <c r="AB11" s="28" t="str">
        <f t="shared" si="2"/>
        <v>4</v>
      </c>
      <c r="AC11" s="28" t="str">
        <f t="shared" si="2"/>
        <v>4</v>
      </c>
      <c r="AD11" s="28" t="str">
        <f t="shared" si="2"/>
        <v>4</v>
      </c>
      <c r="AE11" s="28" t="str">
        <f t="shared" si="2"/>
        <v>4</v>
      </c>
      <c r="AF11" s="28" t="str">
        <f t="shared" si="2"/>
        <v>2</v>
      </c>
      <c r="AG11" s="28" t="str">
        <f t="shared" si="2"/>
        <v>2</v>
      </c>
      <c r="AH11" s="28" t="str">
        <f t="shared" si="2"/>
        <v>4</v>
      </c>
      <c r="AI11" s="28" t="str">
        <f t="shared" si="2"/>
        <v>4</v>
      </c>
      <c r="AJ11" s="28" t="str">
        <f t="shared" si="2"/>
        <v>6</v>
      </c>
      <c r="AK11" s="28" t="str">
        <f t="shared" si="2"/>
        <v>6</v>
      </c>
      <c r="AL11" s="28" t="str">
        <f t="shared" si="2"/>
        <v>6</v>
      </c>
      <c r="AM11" s="28" t="str">
        <f t="shared" si="2"/>
        <v>6</v>
      </c>
      <c r="AN11" s="28" t="str">
        <f t="shared" si="2"/>
        <v>4</v>
      </c>
      <c r="AO11" s="28" t="str">
        <f t="shared" si="2"/>
        <v>4</v>
      </c>
      <c r="AP11" s="28" t="str">
        <f t="shared" si="2"/>
        <v>4</v>
      </c>
      <c r="AQ11" s="28" t="str">
        <f t="shared" si="2"/>
        <v>4</v>
      </c>
      <c r="AR11" s="28" t="str">
        <f t="shared" si="2"/>
        <v>4</v>
      </c>
      <c r="AS11" s="28" t="str">
        <f t="shared" si="2"/>
        <v>4</v>
      </c>
      <c r="AT11" s="28" t="str">
        <f t="shared" si="2"/>
        <v>6</v>
      </c>
      <c r="AU11" s="28" t="str">
        <f t="shared" si="2"/>
        <v>6</v>
      </c>
      <c r="AV11" s="28" t="str">
        <f t="shared" si="2"/>
        <v>6</v>
      </c>
      <c r="AW11" s="29" t="str">
        <f t="shared" si="2"/>
        <v>6</v>
      </c>
    </row>
    <row r="12" spans="1:49" ht="15.75" thickBot="1" x14ac:dyDescent="0.3">
      <c r="A12" s="37" t="s">
        <v>3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9"/>
    </row>
    <row r="13" spans="1:49" x14ac:dyDescent="0.25">
      <c r="A13" s="7" t="s">
        <v>4</v>
      </c>
      <c r="B13" s="21"/>
      <c r="C13" s="18"/>
      <c r="D13" s="18"/>
      <c r="E13" s="18"/>
      <c r="F13" s="18"/>
      <c r="G13" s="18" t="s">
        <v>28</v>
      </c>
      <c r="H13" s="18" t="s">
        <v>30</v>
      </c>
      <c r="I13" s="18"/>
      <c r="J13" s="18"/>
      <c r="K13" s="18" t="s">
        <v>29</v>
      </c>
      <c r="L13" s="18" t="s">
        <v>29</v>
      </c>
      <c r="M13" s="18" t="s">
        <v>29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30</v>
      </c>
      <c r="AO13" s="18" t="s">
        <v>30</v>
      </c>
      <c r="AP13" s="18" t="s">
        <v>29</v>
      </c>
      <c r="AQ13" s="18" t="s">
        <v>29</v>
      </c>
      <c r="AR13" s="18" t="s">
        <v>28</v>
      </c>
      <c r="AS13" s="18" t="s">
        <v>28</v>
      </c>
      <c r="AT13" s="18"/>
      <c r="AU13" s="18"/>
      <c r="AV13" s="18"/>
      <c r="AW13" s="22"/>
    </row>
    <row r="14" spans="1:49" x14ac:dyDescent="0.25">
      <c r="A14" s="8" t="s">
        <v>40</v>
      </c>
      <c r="B14" s="23"/>
      <c r="C14" s="19"/>
      <c r="D14" s="19"/>
      <c r="E14" s="19"/>
      <c r="F14" s="19"/>
      <c r="G14" s="19" t="s">
        <v>31</v>
      </c>
      <c r="H14" s="19" t="s">
        <v>32</v>
      </c>
      <c r="I14" s="19"/>
      <c r="J14" s="19"/>
      <c r="K14" s="19" t="s">
        <v>33</v>
      </c>
      <c r="L14" s="19" t="s">
        <v>33</v>
      </c>
      <c r="M14" s="19" t="s">
        <v>33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31</v>
      </c>
      <c r="AO14" s="19" t="s">
        <v>31</v>
      </c>
      <c r="AP14" s="19" t="s">
        <v>33</v>
      </c>
      <c r="AQ14" s="19" t="s">
        <v>33</v>
      </c>
      <c r="AR14" s="19" t="s">
        <v>32</v>
      </c>
      <c r="AS14" s="19" t="s">
        <v>32</v>
      </c>
      <c r="AT14" s="19"/>
      <c r="AU14" s="19"/>
      <c r="AV14" s="19"/>
      <c r="AW14" s="24"/>
    </row>
    <row r="15" spans="1:49" x14ac:dyDescent="0.25">
      <c r="A15" s="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24"/>
    </row>
    <row r="16" spans="1:49" x14ac:dyDescent="0.25">
      <c r="A16" s="8"/>
      <c r="B16" s="23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24"/>
    </row>
    <row r="17" spans="1:49" x14ac:dyDescent="0.25">
      <c r="A17" s="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24"/>
    </row>
    <row r="18" spans="1:49" ht="15.75" thickBot="1" x14ac:dyDescent="0.3">
      <c r="A18" s="9"/>
      <c r="B18" s="25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thickBot="1" x14ac:dyDescent="0.3">
      <c r="A19" s="40" t="s">
        <v>22</v>
      </c>
      <c r="B19" s="30">
        <f>SUM(COUNTIF(B13:B18,"=AL*"))</f>
        <v>0</v>
      </c>
      <c r="C19" s="30">
        <f t="shared" ref="C19:AW19" si="3">SUM(COUNTIF(C13:C18,"=AL*"))</f>
        <v>0</v>
      </c>
      <c r="D19" s="30">
        <f t="shared" si="3"/>
        <v>0</v>
      </c>
      <c r="E19" s="30">
        <f t="shared" si="3"/>
        <v>0</v>
      </c>
      <c r="F19" s="30">
        <f t="shared" si="3"/>
        <v>0</v>
      </c>
      <c r="G19" s="30">
        <f t="shared" si="3"/>
        <v>2</v>
      </c>
      <c r="H19" s="30">
        <f t="shared" si="3"/>
        <v>2</v>
      </c>
      <c r="I19" s="30">
        <f t="shared" si="3"/>
        <v>0</v>
      </c>
      <c r="J19" s="30">
        <f t="shared" si="3"/>
        <v>0</v>
      </c>
      <c r="K19" s="30">
        <f t="shared" si="3"/>
        <v>2</v>
      </c>
      <c r="L19" s="30">
        <f t="shared" si="3"/>
        <v>2</v>
      </c>
      <c r="M19" s="30">
        <f t="shared" si="3"/>
        <v>2</v>
      </c>
      <c r="N19" s="30">
        <f t="shared" si="3"/>
        <v>0</v>
      </c>
      <c r="O19" s="30">
        <f t="shared" si="3"/>
        <v>0</v>
      </c>
      <c r="P19" s="30">
        <f t="shared" si="3"/>
        <v>0</v>
      </c>
      <c r="Q19" s="30">
        <f t="shared" si="3"/>
        <v>0</v>
      </c>
      <c r="R19" s="30">
        <f t="shared" si="3"/>
        <v>0</v>
      </c>
      <c r="S19" s="30">
        <f t="shared" si="3"/>
        <v>0</v>
      </c>
      <c r="T19" s="30">
        <f t="shared" si="3"/>
        <v>0</v>
      </c>
      <c r="U19" s="30">
        <f t="shared" si="3"/>
        <v>0</v>
      </c>
      <c r="V19" s="30">
        <f t="shared" si="3"/>
        <v>0</v>
      </c>
      <c r="W19" s="30">
        <f t="shared" si="3"/>
        <v>0</v>
      </c>
      <c r="X19" s="30">
        <f t="shared" si="3"/>
        <v>0</v>
      </c>
      <c r="Y19" s="30">
        <f t="shared" si="3"/>
        <v>0</v>
      </c>
      <c r="Z19" s="30">
        <f t="shared" si="3"/>
        <v>0</v>
      </c>
      <c r="AA19" s="30">
        <f t="shared" si="3"/>
        <v>0</v>
      </c>
      <c r="AB19" s="30">
        <f t="shared" si="3"/>
        <v>0</v>
      </c>
      <c r="AC19" s="30">
        <f t="shared" si="3"/>
        <v>0</v>
      </c>
      <c r="AD19" s="30">
        <f t="shared" si="3"/>
        <v>0</v>
      </c>
      <c r="AE19" s="30">
        <f t="shared" si="3"/>
        <v>0</v>
      </c>
      <c r="AF19" s="30">
        <f t="shared" si="3"/>
        <v>0</v>
      </c>
      <c r="AG19" s="30">
        <f t="shared" si="3"/>
        <v>0</v>
      </c>
      <c r="AH19" s="30">
        <f t="shared" si="3"/>
        <v>0</v>
      </c>
      <c r="AI19" s="30">
        <f t="shared" si="3"/>
        <v>0</v>
      </c>
      <c r="AJ19" s="30">
        <f t="shared" si="3"/>
        <v>0</v>
      </c>
      <c r="AK19" s="30">
        <f t="shared" si="3"/>
        <v>0</v>
      </c>
      <c r="AL19" s="30">
        <f t="shared" si="3"/>
        <v>0</v>
      </c>
      <c r="AM19" s="30">
        <f t="shared" si="3"/>
        <v>0</v>
      </c>
      <c r="AN19" s="30">
        <f t="shared" si="3"/>
        <v>2</v>
      </c>
      <c r="AO19" s="30">
        <f t="shared" si="3"/>
        <v>2</v>
      </c>
      <c r="AP19" s="30">
        <f t="shared" si="3"/>
        <v>2</v>
      </c>
      <c r="AQ19" s="30">
        <f t="shared" si="3"/>
        <v>2</v>
      </c>
      <c r="AR19" s="30">
        <f t="shared" si="3"/>
        <v>2</v>
      </c>
      <c r="AS19" s="30">
        <f t="shared" si="3"/>
        <v>2</v>
      </c>
      <c r="AT19" s="30">
        <f t="shared" si="3"/>
        <v>0</v>
      </c>
      <c r="AU19" s="30">
        <f t="shared" si="3"/>
        <v>0</v>
      </c>
      <c r="AV19" s="30">
        <f t="shared" si="3"/>
        <v>0</v>
      </c>
      <c r="AW19" s="31">
        <f t="shared" si="3"/>
        <v>0</v>
      </c>
    </row>
    <row r="20" spans="1:49" ht="15.75" thickBot="1" x14ac:dyDescent="0.3">
      <c r="A20" s="40" t="s">
        <v>23</v>
      </c>
      <c r="B20" s="30">
        <f>SUM(COUNTIF(B13:B18,"=Acar*"))</f>
        <v>0</v>
      </c>
      <c r="C20" s="30">
        <f t="shared" ref="C20:AW20" si="4">SUM(COUNTIF(C13:C18,"=Acar*"))</f>
        <v>0</v>
      </c>
      <c r="D20" s="30">
        <f t="shared" si="4"/>
        <v>0</v>
      </c>
      <c r="E20" s="30">
        <f t="shared" si="4"/>
        <v>0</v>
      </c>
      <c r="F20" s="30">
        <f t="shared" si="4"/>
        <v>0</v>
      </c>
      <c r="G20" s="30">
        <f t="shared" si="4"/>
        <v>0</v>
      </c>
      <c r="H20" s="30">
        <f t="shared" si="4"/>
        <v>0</v>
      </c>
      <c r="I20" s="30">
        <f t="shared" si="4"/>
        <v>0</v>
      </c>
      <c r="J20" s="30">
        <f t="shared" si="4"/>
        <v>0</v>
      </c>
      <c r="K20" s="30">
        <f t="shared" si="4"/>
        <v>0</v>
      </c>
      <c r="L20" s="30">
        <f t="shared" si="4"/>
        <v>0</v>
      </c>
      <c r="M20" s="30">
        <f t="shared" si="4"/>
        <v>0</v>
      </c>
      <c r="N20" s="30">
        <f t="shared" si="4"/>
        <v>0</v>
      </c>
      <c r="O20" s="30">
        <f t="shared" si="4"/>
        <v>0</v>
      </c>
      <c r="P20" s="30">
        <f t="shared" si="4"/>
        <v>0</v>
      </c>
      <c r="Q20" s="30">
        <f t="shared" si="4"/>
        <v>0</v>
      </c>
      <c r="R20" s="30">
        <f t="shared" si="4"/>
        <v>0</v>
      </c>
      <c r="S20" s="30">
        <f t="shared" si="4"/>
        <v>0</v>
      </c>
      <c r="T20" s="30">
        <f t="shared" si="4"/>
        <v>0</v>
      </c>
      <c r="U20" s="30">
        <f t="shared" si="4"/>
        <v>0</v>
      </c>
      <c r="V20" s="30">
        <f t="shared" si="4"/>
        <v>0</v>
      </c>
      <c r="W20" s="30">
        <f t="shared" si="4"/>
        <v>0</v>
      </c>
      <c r="X20" s="30">
        <f t="shared" si="4"/>
        <v>0</v>
      </c>
      <c r="Y20" s="30">
        <f t="shared" si="4"/>
        <v>0</v>
      </c>
      <c r="Z20" s="30">
        <f t="shared" si="4"/>
        <v>0</v>
      </c>
      <c r="AA20" s="30">
        <f t="shared" si="4"/>
        <v>0</v>
      </c>
      <c r="AB20" s="30">
        <f t="shared" si="4"/>
        <v>0</v>
      </c>
      <c r="AC20" s="30">
        <f t="shared" si="4"/>
        <v>0</v>
      </c>
      <c r="AD20" s="30">
        <f t="shared" si="4"/>
        <v>0</v>
      </c>
      <c r="AE20" s="30">
        <f t="shared" si="4"/>
        <v>0</v>
      </c>
      <c r="AF20" s="30">
        <f t="shared" si="4"/>
        <v>0</v>
      </c>
      <c r="AG20" s="30">
        <f t="shared" si="4"/>
        <v>0</v>
      </c>
      <c r="AH20" s="30">
        <f t="shared" si="4"/>
        <v>0</v>
      </c>
      <c r="AI20" s="30">
        <f t="shared" si="4"/>
        <v>0</v>
      </c>
      <c r="AJ20" s="30">
        <f t="shared" si="4"/>
        <v>0</v>
      </c>
      <c r="AK20" s="30">
        <f t="shared" si="4"/>
        <v>0</v>
      </c>
      <c r="AL20" s="30">
        <f t="shared" si="4"/>
        <v>0</v>
      </c>
      <c r="AM20" s="30">
        <f t="shared" si="4"/>
        <v>0</v>
      </c>
      <c r="AN20" s="30">
        <f t="shared" si="4"/>
        <v>0</v>
      </c>
      <c r="AO20" s="30">
        <f t="shared" si="4"/>
        <v>0</v>
      </c>
      <c r="AP20" s="30">
        <f t="shared" si="4"/>
        <v>0</v>
      </c>
      <c r="AQ20" s="30">
        <f t="shared" si="4"/>
        <v>0</v>
      </c>
      <c r="AR20" s="30">
        <f t="shared" si="4"/>
        <v>0</v>
      </c>
      <c r="AS20" s="30">
        <f t="shared" si="4"/>
        <v>0</v>
      </c>
      <c r="AT20" s="30">
        <f t="shared" si="4"/>
        <v>0</v>
      </c>
      <c r="AU20" s="30">
        <f t="shared" si="4"/>
        <v>0</v>
      </c>
      <c r="AV20" s="30">
        <f t="shared" si="4"/>
        <v>0</v>
      </c>
      <c r="AW20" s="31">
        <f t="shared" si="4"/>
        <v>0</v>
      </c>
    </row>
    <row r="21" spans="1:49" ht="15.75" thickBot="1" x14ac:dyDescent="0.3">
      <c r="A21" s="40" t="s">
        <v>1</v>
      </c>
      <c r="B21" s="28" t="str">
        <f>IF(B20=0, CONCATENATE(B19), CONCATENATE(B19, ",",B20))</f>
        <v>0</v>
      </c>
      <c r="C21" s="28" t="str">
        <f t="shared" ref="C21:AW21" si="5">IF(C20=0, CONCATENATE(C19), CONCATENATE(C19, ",",C20))</f>
        <v>0</v>
      </c>
      <c r="D21" s="28" t="str">
        <f t="shared" si="5"/>
        <v>0</v>
      </c>
      <c r="E21" s="28" t="str">
        <f t="shared" si="5"/>
        <v>0</v>
      </c>
      <c r="F21" s="28" t="str">
        <f t="shared" si="5"/>
        <v>0</v>
      </c>
      <c r="G21" s="28" t="str">
        <f t="shared" si="5"/>
        <v>2</v>
      </c>
      <c r="H21" s="28" t="str">
        <f t="shared" si="5"/>
        <v>2</v>
      </c>
      <c r="I21" s="28" t="str">
        <f t="shared" si="5"/>
        <v>0</v>
      </c>
      <c r="J21" s="28" t="str">
        <f t="shared" si="5"/>
        <v>0</v>
      </c>
      <c r="K21" s="28" t="str">
        <f t="shared" si="5"/>
        <v>2</v>
      </c>
      <c r="L21" s="28" t="str">
        <f t="shared" si="5"/>
        <v>2</v>
      </c>
      <c r="M21" s="28" t="str">
        <f t="shared" si="5"/>
        <v>2</v>
      </c>
      <c r="N21" s="28" t="str">
        <f t="shared" si="5"/>
        <v>0</v>
      </c>
      <c r="O21" s="28" t="str">
        <f t="shared" si="5"/>
        <v>0</v>
      </c>
      <c r="P21" s="28" t="str">
        <f t="shared" si="5"/>
        <v>0</v>
      </c>
      <c r="Q21" s="28" t="str">
        <f t="shared" si="5"/>
        <v>0</v>
      </c>
      <c r="R21" s="28" t="str">
        <f t="shared" si="5"/>
        <v>0</v>
      </c>
      <c r="S21" s="28" t="str">
        <f t="shared" si="5"/>
        <v>0</v>
      </c>
      <c r="T21" s="28" t="str">
        <f t="shared" si="5"/>
        <v>0</v>
      </c>
      <c r="U21" s="28" t="str">
        <f t="shared" si="5"/>
        <v>0</v>
      </c>
      <c r="V21" s="28" t="str">
        <f t="shared" si="5"/>
        <v>0</v>
      </c>
      <c r="W21" s="28" t="str">
        <f t="shared" si="5"/>
        <v>0</v>
      </c>
      <c r="X21" s="28" t="str">
        <f t="shared" si="5"/>
        <v>0</v>
      </c>
      <c r="Y21" s="28" t="str">
        <f t="shared" si="5"/>
        <v>0</v>
      </c>
      <c r="Z21" s="28" t="str">
        <f t="shared" si="5"/>
        <v>0</v>
      </c>
      <c r="AA21" s="28" t="str">
        <f t="shared" si="5"/>
        <v>0</v>
      </c>
      <c r="AB21" s="28" t="str">
        <f t="shared" si="5"/>
        <v>0</v>
      </c>
      <c r="AC21" s="28" t="str">
        <f t="shared" si="5"/>
        <v>0</v>
      </c>
      <c r="AD21" s="28" t="str">
        <f t="shared" si="5"/>
        <v>0</v>
      </c>
      <c r="AE21" s="28" t="str">
        <f t="shared" si="5"/>
        <v>0</v>
      </c>
      <c r="AF21" s="28" t="str">
        <f t="shared" si="5"/>
        <v>0</v>
      </c>
      <c r="AG21" s="28" t="str">
        <f t="shared" si="5"/>
        <v>0</v>
      </c>
      <c r="AH21" s="28" t="str">
        <f t="shared" si="5"/>
        <v>0</v>
      </c>
      <c r="AI21" s="28" t="str">
        <f t="shared" si="5"/>
        <v>0</v>
      </c>
      <c r="AJ21" s="28" t="str">
        <f t="shared" si="5"/>
        <v>0</v>
      </c>
      <c r="AK21" s="28" t="str">
        <f t="shared" si="5"/>
        <v>0</v>
      </c>
      <c r="AL21" s="28" t="str">
        <f t="shared" si="5"/>
        <v>0</v>
      </c>
      <c r="AM21" s="28" t="str">
        <f t="shared" si="5"/>
        <v>0</v>
      </c>
      <c r="AN21" s="28" t="str">
        <f t="shared" si="5"/>
        <v>2</v>
      </c>
      <c r="AO21" s="28" t="str">
        <f t="shared" si="5"/>
        <v>2</v>
      </c>
      <c r="AP21" s="28" t="str">
        <f t="shared" si="5"/>
        <v>2</v>
      </c>
      <c r="AQ21" s="28" t="str">
        <f t="shared" si="5"/>
        <v>2</v>
      </c>
      <c r="AR21" s="28" t="str">
        <f t="shared" si="5"/>
        <v>2</v>
      </c>
      <c r="AS21" s="28" t="str">
        <f t="shared" si="5"/>
        <v>2</v>
      </c>
      <c r="AT21" s="28" t="str">
        <f t="shared" si="5"/>
        <v>0</v>
      </c>
      <c r="AU21" s="28" t="str">
        <f t="shared" si="5"/>
        <v>0</v>
      </c>
      <c r="AV21" s="28" t="str">
        <f t="shared" si="5"/>
        <v>0</v>
      </c>
      <c r="AW21" s="29" t="str">
        <f t="shared" si="5"/>
        <v>0</v>
      </c>
    </row>
    <row r="22" spans="1:49" ht="15.75" thickBot="1" x14ac:dyDescent="0.3">
      <c r="A22" s="35" t="s">
        <v>24</v>
      </c>
      <c r="B22" s="32" t="str">
        <f>IF(SUM(B10,B20) = 0, CONCATENATE(SUM(B9+B19)), CONCATENATE(SUM(B9,B19), ",", SUM(B10,B20)))</f>
        <v>6</v>
      </c>
      <c r="C22" s="33" t="str">
        <f t="shared" ref="C22:AW22" si="6">IF(SUM(C10,C20) = 0, CONCATENATE(SUM(C9+C19)), CONCATENATE(SUM(C9,C19), ",", SUM(C10,C20)))</f>
        <v>6</v>
      </c>
      <c r="D22" s="33" t="str">
        <f t="shared" si="6"/>
        <v>6</v>
      </c>
      <c r="E22" s="33" t="str">
        <f t="shared" si="6"/>
        <v>6</v>
      </c>
      <c r="F22" s="33" t="str">
        <f t="shared" si="6"/>
        <v>6</v>
      </c>
      <c r="G22" s="33" t="str">
        <f t="shared" si="6"/>
        <v>6</v>
      </c>
      <c r="H22" s="33" t="str">
        <f t="shared" si="6"/>
        <v>6</v>
      </c>
      <c r="I22" s="33" t="str">
        <f t="shared" si="6"/>
        <v>6</v>
      </c>
      <c r="J22" s="33" t="str">
        <f t="shared" si="6"/>
        <v>6</v>
      </c>
      <c r="K22" s="33" t="str">
        <f t="shared" si="6"/>
        <v>6</v>
      </c>
      <c r="L22" s="33" t="str">
        <f t="shared" si="6"/>
        <v>6</v>
      </c>
      <c r="M22" s="33" t="str">
        <f t="shared" si="6"/>
        <v>6</v>
      </c>
      <c r="N22" s="33" t="str">
        <f t="shared" si="6"/>
        <v>2</v>
      </c>
      <c r="O22" s="33" t="str">
        <f t="shared" si="6"/>
        <v>2</v>
      </c>
      <c r="P22" s="33" t="str">
        <f t="shared" si="6"/>
        <v>2</v>
      </c>
      <c r="Q22" s="33" t="str">
        <f t="shared" si="6"/>
        <v>2</v>
      </c>
      <c r="R22" s="33" t="str">
        <f t="shared" si="6"/>
        <v>2</v>
      </c>
      <c r="S22" s="33" t="str">
        <f t="shared" si="6"/>
        <v>2</v>
      </c>
      <c r="T22" s="33" t="str">
        <f t="shared" si="6"/>
        <v>2</v>
      </c>
      <c r="U22" s="33" t="str">
        <f t="shared" si="6"/>
        <v>2</v>
      </c>
      <c r="V22" s="33" t="str">
        <f t="shared" si="6"/>
        <v>2</v>
      </c>
      <c r="W22" s="33" t="str">
        <f t="shared" si="6"/>
        <v>2</v>
      </c>
      <c r="X22" s="33" t="str">
        <f t="shared" si="6"/>
        <v>4</v>
      </c>
      <c r="Y22" s="33" t="str">
        <f t="shared" si="6"/>
        <v>4</v>
      </c>
      <c r="Z22" s="33" t="str">
        <f t="shared" si="6"/>
        <v>4</v>
      </c>
      <c r="AA22" s="33" t="str">
        <f t="shared" si="6"/>
        <v>4</v>
      </c>
      <c r="AB22" s="33" t="str">
        <f t="shared" si="6"/>
        <v>4</v>
      </c>
      <c r="AC22" s="33" t="str">
        <f t="shared" si="6"/>
        <v>4</v>
      </c>
      <c r="AD22" s="33" t="str">
        <f t="shared" si="6"/>
        <v>4</v>
      </c>
      <c r="AE22" s="33" t="str">
        <f t="shared" si="6"/>
        <v>4</v>
      </c>
      <c r="AF22" s="33" t="str">
        <f t="shared" si="6"/>
        <v>2</v>
      </c>
      <c r="AG22" s="33" t="str">
        <f t="shared" si="6"/>
        <v>2</v>
      </c>
      <c r="AH22" s="33" t="str">
        <f t="shared" si="6"/>
        <v>4</v>
      </c>
      <c r="AI22" s="33" t="str">
        <f t="shared" si="6"/>
        <v>4</v>
      </c>
      <c r="AJ22" s="33" t="str">
        <f t="shared" si="6"/>
        <v>6</v>
      </c>
      <c r="AK22" s="33" t="str">
        <f t="shared" si="6"/>
        <v>6</v>
      </c>
      <c r="AL22" s="33" t="str">
        <f t="shared" si="6"/>
        <v>6</v>
      </c>
      <c r="AM22" s="33" t="str">
        <f t="shared" si="6"/>
        <v>6</v>
      </c>
      <c r="AN22" s="33" t="str">
        <f t="shared" si="6"/>
        <v>6</v>
      </c>
      <c r="AO22" s="33" t="str">
        <f t="shared" si="6"/>
        <v>6</v>
      </c>
      <c r="AP22" s="33" t="str">
        <f t="shared" si="6"/>
        <v>6</v>
      </c>
      <c r="AQ22" s="33" t="str">
        <f t="shared" si="6"/>
        <v>6</v>
      </c>
      <c r="AR22" s="33" t="str">
        <f t="shared" si="6"/>
        <v>6</v>
      </c>
      <c r="AS22" s="33" t="str">
        <f t="shared" si="6"/>
        <v>6</v>
      </c>
      <c r="AT22" s="33" t="str">
        <f t="shared" si="6"/>
        <v>6</v>
      </c>
      <c r="AU22" s="33" t="str">
        <f t="shared" si="6"/>
        <v>6</v>
      </c>
      <c r="AV22" s="33" t="str">
        <f t="shared" si="6"/>
        <v>6</v>
      </c>
      <c r="AW22" s="34" t="str">
        <f t="shared" si="6"/>
        <v>6</v>
      </c>
    </row>
  </sheetData>
  <mergeCells count="2">
    <mergeCell ref="A2:AW2"/>
    <mergeCell ref="A12:AW12"/>
  </mergeCells>
  <conditionalFormatting sqref="B3:AW10 B13:AW20">
    <cfRule type="cellIs" dxfId="37" priority="1" operator="equal">
      <formula>"AL1"</formula>
    </cfRule>
    <cfRule type="cellIs" dxfId="36" priority="2" operator="equal">
      <formula>"Acar1"</formula>
    </cfRule>
    <cfRule type="cellIs" dxfId="35" priority="3" operator="equal">
      <formula>"AL2"</formula>
    </cfRule>
    <cfRule type="cellIs" dxfId="34" priority="4" operator="equal">
      <formula>"Acar2"</formula>
    </cfRule>
    <cfRule type="cellIs" dxfId="33" priority="5" operator="equal">
      <formula>"AL3"</formula>
    </cfRule>
    <cfRule type="cellIs" dxfId="32" priority="6" operator="equal">
      <formula>"Acar3"</formula>
    </cfRule>
    <cfRule type="cellIs" dxfId="31" priority="7" operator="equal">
      <formula>"AL4"</formula>
    </cfRule>
    <cfRule type="cellIs" dxfId="30" priority="8" operator="equal">
      <formula>"Acar4"</formula>
    </cfRule>
    <cfRule type="cellIs" dxfId="29" priority="9" operator="equal">
      <formula>"AL5"</formula>
    </cfRule>
    <cfRule type="cellIs" dxfId="28" priority="10" operator="equal">
      <formula>"Acar5"</formula>
    </cfRule>
    <cfRule type="cellIs" dxfId="27" priority="11" operator="equal">
      <formula>"AL6"</formula>
    </cfRule>
    <cfRule type="cellIs" dxfId="26" priority="12" operator="equal">
      <formula>"Acar6"</formula>
    </cfRule>
  </conditionalFormatting>
  <pageMargins left="0.7" right="0.7" top="0.75" bottom="0.75" header="0.3" footer="0.3"/>
  <pageSetup scale="43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E6292E-8F95-41B6-A712-E42009253A5C}">
          <x14:formula1>
            <xm:f>List!$F$2:$F$19</xm:f>
          </x14:formula1>
          <xm:sqref>B3:AW8 B13:AW18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</vt:lpstr>
      <vt:lpstr>Roster</vt:lpstr>
      <vt:lpstr>Roster-close 0030,full 0600</vt:lpstr>
      <vt:lpstr>Roster-close 0100,full 0600</vt:lpstr>
      <vt:lpstr>Roster-close 0100,full 0630</vt:lpstr>
      <vt:lpstr>Roster-close 0100,full 0700 </vt:lpstr>
      <vt:lpstr>Roster-close 0100,full 0700 SOS</vt:lpstr>
      <vt:lpstr>Roster-original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 (ICA)</dc:creator>
  <cp:lastModifiedBy>Fiona Lee</cp:lastModifiedBy>
  <cp:lastPrinted>2025-01-16T04:37:30Z</cp:lastPrinted>
  <dcterms:created xsi:type="dcterms:W3CDTF">2025-01-12T05:30:13Z</dcterms:created>
  <dcterms:modified xsi:type="dcterms:W3CDTF">2026-03-17T05:47:14Z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2025-01-12T05:41:22Z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5375901a-92d7-4870-9429-d54b14f16875</vt:lpwstr>
  </property>
  <property fmtid="{D5CDD505-2E9C-101B-9397-08002B2CF9AE}" pid="8" name="MSIP_Label_54803508-8490-4252-b331-d9b72689e942_ContentBits">
    <vt:lpwstr>0</vt:lpwstr>
  </property>
</Properties>
</file>