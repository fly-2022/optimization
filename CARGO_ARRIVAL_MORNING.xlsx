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defaultThemeVersion="202300"/>
  <mc:AlternateContent xmlns:mc="http://schemas.openxmlformats.org/markup-compatibility/2006">
    <mc:Choice Requires="x15">
      <x15ac:absPath xmlns:x15ac="http://schemas.microsoft.com/office/spreadsheetml/2010/11/ac" url="C:\fiona\optimisation\"/>
    </mc:Choice>
  </mc:AlternateContent>
  <xr:revisionPtr revIDLastSave="0" documentId="13_ncr:1_{EDAF524C-F8E5-498A-B80F-95EE91CB30C6}" xr6:coauthVersionLast="47" xr6:coauthVersionMax="47" xr10:uidLastSave="{00000000-0000-0000-0000-000000000000}"/>
  <bookViews>
    <workbookView xWindow="-120" yWindow="-120" windowWidth="29040" windowHeight="15720" activeTab="5" xr2:uid="{4C96D902-8C59-4966-B0F7-AE5ADA9D8A6E}"/>
  </bookViews>
  <sheets>
    <sheet name="List" sheetId="3" r:id="rId1"/>
    <sheet name="Roster - 6" sheetId="10" r:id="rId2"/>
    <sheet name="Roster - 6 partial close 1 {3}" sheetId="12" r:id="rId3"/>
    <sheet name="Roster - 6 partial close 1 {2}" sheetId="18" r:id="rId4"/>
    <sheet name="Roster - 6 partial close 1 {1}" sheetId="19" r:id="rId5"/>
    <sheet name="Roster - 5 " sheetId="16" r:id="rId6"/>
    <sheet name="Roster - SOS" sheetId="5" r:id="rId7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22" i="5" l="1"/>
  <c r="D22" i="5"/>
  <c r="E22" i="5"/>
  <c r="F22" i="5"/>
  <c r="G22" i="5"/>
  <c r="H22" i="5"/>
  <c r="I22" i="5"/>
  <c r="J22" i="5"/>
  <c r="K22" i="5"/>
  <c r="L22" i="5"/>
  <c r="M22" i="5"/>
  <c r="N22" i="5"/>
  <c r="O22" i="5"/>
  <c r="P22" i="5"/>
  <c r="Q22" i="5"/>
  <c r="R22" i="5"/>
  <c r="S22" i="5"/>
  <c r="T22" i="5"/>
  <c r="U22" i="5"/>
  <c r="V22" i="5"/>
  <c r="W22" i="5"/>
  <c r="X22" i="5"/>
  <c r="Y22" i="5"/>
  <c r="Z22" i="5"/>
  <c r="AA22" i="5"/>
  <c r="AB22" i="5"/>
  <c r="AC22" i="5"/>
  <c r="AD22" i="5"/>
  <c r="AE22" i="5"/>
  <c r="AF22" i="5"/>
  <c r="AG22" i="5"/>
  <c r="AH22" i="5"/>
  <c r="AI22" i="5"/>
  <c r="AJ22" i="5"/>
  <c r="AK22" i="5"/>
  <c r="AL22" i="5"/>
  <c r="AM22" i="5"/>
  <c r="AN22" i="5"/>
  <c r="AO22" i="5"/>
  <c r="AP22" i="5"/>
  <c r="AQ22" i="5"/>
  <c r="AR22" i="5"/>
  <c r="AS22" i="5"/>
  <c r="AT22" i="5"/>
  <c r="AU22" i="5"/>
  <c r="AV22" i="5"/>
  <c r="AW22" i="5"/>
  <c r="C21" i="5"/>
  <c r="D21" i="5"/>
  <c r="E21" i="5"/>
  <c r="F21" i="5"/>
  <c r="G21" i="5"/>
  <c r="H21" i="5"/>
  <c r="I21" i="5"/>
  <c r="J21" i="5"/>
  <c r="K21" i="5"/>
  <c r="L21" i="5"/>
  <c r="M21" i="5"/>
  <c r="N21" i="5"/>
  <c r="O21" i="5"/>
  <c r="P21" i="5"/>
  <c r="Q21" i="5"/>
  <c r="R21" i="5"/>
  <c r="S21" i="5"/>
  <c r="T21" i="5"/>
  <c r="U21" i="5"/>
  <c r="V21" i="5"/>
  <c r="W21" i="5"/>
  <c r="X21" i="5"/>
  <c r="Y21" i="5"/>
  <c r="Z21" i="5"/>
  <c r="AA21" i="5"/>
  <c r="AB21" i="5"/>
  <c r="AC21" i="5"/>
  <c r="AD21" i="5"/>
  <c r="AE21" i="5"/>
  <c r="AF21" i="5"/>
  <c r="AG21" i="5"/>
  <c r="AH21" i="5"/>
  <c r="AI21" i="5"/>
  <c r="AJ21" i="5"/>
  <c r="AK21" i="5"/>
  <c r="AL21" i="5"/>
  <c r="AM21" i="5"/>
  <c r="AN21" i="5"/>
  <c r="AO21" i="5"/>
  <c r="AP21" i="5"/>
  <c r="AQ21" i="5"/>
  <c r="AR21" i="5"/>
  <c r="AS21" i="5"/>
  <c r="AT21" i="5"/>
  <c r="AU21" i="5"/>
  <c r="AV21" i="5"/>
  <c r="AW21" i="5"/>
  <c r="C20" i="5"/>
  <c r="D20" i="5"/>
  <c r="E20" i="5"/>
  <c r="F20" i="5"/>
  <c r="G20" i="5"/>
  <c r="H20" i="5"/>
  <c r="I20" i="5"/>
  <c r="J20" i="5"/>
  <c r="K20" i="5"/>
  <c r="L20" i="5"/>
  <c r="M20" i="5"/>
  <c r="N20" i="5"/>
  <c r="O20" i="5"/>
  <c r="P20" i="5"/>
  <c r="Q20" i="5"/>
  <c r="R20" i="5"/>
  <c r="S20" i="5"/>
  <c r="T20" i="5"/>
  <c r="U20" i="5"/>
  <c r="V20" i="5"/>
  <c r="W20" i="5"/>
  <c r="X20" i="5"/>
  <c r="Y20" i="5"/>
  <c r="Z20" i="5"/>
  <c r="AA20" i="5"/>
  <c r="AB20" i="5"/>
  <c r="AC20" i="5"/>
  <c r="AD20" i="5"/>
  <c r="AE20" i="5"/>
  <c r="AF20" i="5"/>
  <c r="AG20" i="5"/>
  <c r="AH20" i="5"/>
  <c r="AI20" i="5"/>
  <c r="AJ20" i="5"/>
  <c r="AK20" i="5"/>
  <c r="AL20" i="5"/>
  <c r="AM20" i="5"/>
  <c r="AN20" i="5"/>
  <c r="AO20" i="5"/>
  <c r="AP20" i="5"/>
  <c r="AQ20" i="5"/>
  <c r="AR20" i="5"/>
  <c r="AS20" i="5"/>
  <c r="AT20" i="5"/>
  <c r="AU20" i="5"/>
  <c r="AV20" i="5"/>
  <c r="AW20" i="5"/>
  <c r="C19" i="5"/>
  <c r="D19" i="5"/>
  <c r="E19" i="5"/>
  <c r="F19" i="5"/>
  <c r="G19" i="5"/>
  <c r="H19" i="5"/>
  <c r="I19" i="5"/>
  <c r="J19" i="5"/>
  <c r="K19" i="5"/>
  <c r="L19" i="5"/>
  <c r="M19" i="5"/>
  <c r="N19" i="5"/>
  <c r="O19" i="5"/>
  <c r="P19" i="5"/>
  <c r="Q19" i="5"/>
  <c r="R19" i="5"/>
  <c r="S19" i="5"/>
  <c r="T19" i="5"/>
  <c r="U19" i="5"/>
  <c r="V19" i="5"/>
  <c r="W19" i="5"/>
  <c r="X19" i="5"/>
  <c r="Y19" i="5"/>
  <c r="Z19" i="5"/>
  <c r="AA19" i="5"/>
  <c r="AB19" i="5"/>
  <c r="AC19" i="5"/>
  <c r="AD19" i="5"/>
  <c r="AE19" i="5"/>
  <c r="AF19" i="5"/>
  <c r="AG19" i="5"/>
  <c r="AH19" i="5"/>
  <c r="AI19" i="5"/>
  <c r="AJ19" i="5"/>
  <c r="AK19" i="5"/>
  <c r="AL19" i="5"/>
  <c r="AM19" i="5"/>
  <c r="AN19" i="5"/>
  <c r="AO19" i="5"/>
  <c r="AP19" i="5"/>
  <c r="AQ19" i="5"/>
  <c r="AR19" i="5"/>
  <c r="AS19" i="5"/>
  <c r="AT19" i="5"/>
  <c r="AU19" i="5"/>
  <c r="AV19" i="5"/>
  <c r="AW19" i="5"/>
  <c r="C11" i="5"/>
  <c r="D11" i="5"/>
  <c r="E11" i="5"/>
  <c r="F11" i="5"/>
  <c r="G11" i="5"/>
  <c r="H11" i="5"/>
  <c r="I11" i="5"/>
  <c r="J11" i="5"/>
  <c r="K11" i="5"/>
  <c r="L11" i="5"/>
  <c r="M11" i="5"/>
  <c r="N11" i="5"/>
  <c r="O11" i="5"/>
  <c r="P11" i="5"/>
  <c r="Q11" i="5"/>
  <c r="R11" i="5"/>
  <c r="S11" i="5"/>
  <c r="T11" i="5"/>
  <c r="U11" i="5"/>
  <c r="V11" i="5"/>
  <c r="W11" i="5"/>
  <c r="X11" i="5"/>
  <c r="Y11" i="5"/>
  <c r="Z11" i="5"/>
  <c r="AA11" i="5"/>
  <c r="AB11" i="5"/>
  <c r="AC11" i="5"/>
  <c r="AD11" i="5"/>
  <c r="AE11" i="5"/>
  <c r="AF11" i="5"/>
  <c r="AG11" i="5"/>
  <c r="AH11" i="5"/>
  <c r="AI11" i="5"/>
  <c r="AJ11" i="5"/>
  <c r="AK11" i="5"/>
  <c r="AL11" i="5"/>
  <c r="AM11" i="5"/>
  <c r="AN11" i="5"/>
  <c r="AO11" i="5"/>
  <c r="AP11" i="5"/>
  <c r="AQ11" i="5"/>
  <c r="AR11" i="5"/>
  <c r="AS11" i="5"/>
  <c r="AT11" i="5"/>
  <c r="AU11" i="5"/>
  <c r="AV11" i="5"/>
  <c r="AW11" i="5"/>
  <c r="C10" i="5"/>
  <c r="D10" i="5"/>
  <c r="E10" i="5"/>
  <c r="F10" i="5"/>
  <c r="G10" i="5"/>
  <c r="H10" i="5"/>
  <c r="I10" i="5"/>
  <c r="J10" i="5"/>
  <c r="K10" i="5"/>
  <c r="L10" i="5"/>
  <c r="M10" i="5"/>
  <c r="N10" i="5"/>
  <c r="O10" i="5"/>
  <c r="P10" i="5"/>
  <c r="Q10" i="5"/>
  <c r="R10" i="5"/>
  <c r="S10" i="5"/>
  <c r="T10" i="5"/>
  <c r="U10" i="5"/>
  <c r="V10" i="5"/>
  <c r="W10" i="5"/>
  <c r="X10" i="5"/>
  <c r="Y10" i="5"/>
  <c r="Z10" i="5"/>
  <c r="AA10" i="5"/>
  <c r="AB10" i="5"/>
  <c r="AC10" i="5"/>
  <c r="AD10" i="5"/>
  <c r="AE10" i="5"/>
  <c r="AF10" i="5"/>
  <c r="AG10" i="5"/>
  <c r="AH10" i="5"/>
  <c r="AI10" i="5"/>
  <c r="AJ10" i="5"/>
  <c r="AK10" i="5"/>
  <c r="AL10" i="5"/>
  <c r="AM10" i="5"/>
  <c r="AN10" i="5"/>
  <c r="AO10" i="5"/>
  <c r="AP10" i="5"/>
  <c r="AQ10" i="5"/>
  <c r="AR10" i="5"/>
  <c r="AS10" i="5"/>
  <c r="AT10" i="5"/>
  <c r="AU10" i="5"/>
  <c r="AV10" i="5"/>
  <c r="AW10" i="5"/>
  <c r="C9" i="5"/>
  <c r="D9" i="5"/>
  <c r="E9" i="5"/>
  <c r="F9" i="5"/>
  <c r="G9" i="5"/>
  <c r="H9" i="5"/>
  <c r="I9" i="5"/>
  <c r="J9" i="5"/>
  <c r="K9" i="5"/>
  <c r="L9" i="5"/>
  <c r="M9" i="5"/>
  <c r="N9" i="5"/>
  <c r="O9" i="5"/>
  <c r="P9" i="5"/>
  <c r="Q9" i="5"/>
  <c r="R9" i="5"/>
  <c r="S9" i="5"/>
  <c r="T9" i="5"/>
  <c r="U9" i="5"/>
  <c r="V9" i="5"/>
  <c r="W9" i="5"/>
  <c r="X9" i="5"/>
  <c r="Y9" i="5"/>
  <c r="Z9" i="5"/>
  <c r="AA9" i="5"/>
  <c r="AB9" i="5"/>
  <c r="AC9" i="5"/>
  <c r="AD9" i="5"/>
  <c r="AE9" i="5"/>
  <c r="AF9" i="5"/>
  <c r="AG9" i="5"/>
  <c r="AH9" i="5"/>
  <c r="AI9" i="5"/>
  <c r="AJ9" i="5"/>
  <c r="AK9" i="5"/>
  <c r="AL9" i="5"/>
  <c r="AM9" i="5"/>
  <c r="AN9" i="5"/>
  <c r="AO9" i="5"/>
  <c r="AP9" i="5"/>
  <c r="AQ9" i="5"/>
  <c r="AR9" i="5"/>
  <c r="AS9" i="5"/>
  <c r="AT9" i="5"/>
  <c r="AU9" i="5"/>
  <c r="AV9" i="5"/>
  <c r="AW9" i="5"/>
  <c r="B20" i="5"/>
  <c r="B19" i="5"/>
  <c r="B10" i="5"/>
  <c r="B9" i="5"/>
  <c r="C22" i="16"/>
  <c r="D22" i="16"/>
  <c r="E22" i="16"/>
  <c r="F22" i="16"/>
  <c r="G22" i="16"/>
  <c r="H22" i="16"/>
  <c r="I22" i="16"/>
  <c r="J22" i="16"/>
  <c r="K22" i="16"/>
  <c r="L22" i="16"/>
  <c r="M22" i="16"/>
  <c r="N22" i="16"/>
  <c r="O22" i="16"/>
  <c r="P22" i="16"/>
  <c r="Q22" i="16"/>
  <c r="R22" i="16"/>
  <c r="S22" i="16"/>
  <c r="T22" i="16"/>
  <c r="U22" i="16"/>
  <c r="V22" i="16"/>
  <c r="W22" i="16"/>
  <c r="X22" i="16"/>
  <c r="Y22" i="16"/>
  <c r="Z22" i="16"/>
  <c r="AA22" i="16"/>
  <c r="AB22" i="16"/>
  <c r="AC22" i="16"/>
  <c r="AD22" i="16"/>
  <c r="AE22" i="16"/>
  <c r="AF22" i="16"/>
  <c r="AG22" i="16"/>
  <c r="AH22" i="16"/>
  <c r="AI22" i="16"/>
  <c r="AJ22" i="16"/>
  <c r="AK22" i="16"/>
  <c r="AL22" i="16"/>
  <c r="AM22" i="16"/>
  <c r="AN22" i="16"/>
  <c r="AO22" i="16"/>
  <c r="AP22" i="16"/>
  <c r="AQ22" i="16"/>
  <c r="AR22" i="16"/>
  <c r="AS22" i="16"/>
  <c r="AT22" i="16"/>
  <c r="AU22" i="16"/>
  <c r="AV22" i="16"/>
  <c r="AW22" i="16"/>
  <c r="C21" i="16"/>
  <c r="D21" i="16"/>
  <c r="E21" i="16"/>
  <c r="F21" i="16"/>
  <c r="G21" i="16"/>
  <c r="H21" i="16"/>
  <c r="I21" i="16"/>
  <c r="J21" i="16"/>
  <c r="K21" i="16"/>
  <c r="L21" i="16"/>
  <c r="M21" i="16"/>
  <c r="N21" i="16"/>
  <c r="O21" i="16"/>
  <c r="P21" i="16"/>
  <c r="Q21" i="16"/>
  <c r="R21" i="16"/>
  <c r="S21" i="16"/>
  <c r="T21" i="16"/>
  <c r="U21" i="16"/>
  <c r="V21" i="16"/>
  <c r="W21" i="16"/>
  <c r="X21" i="16"/>
  <c r="Y21" i="16"/>
  <c r="Z21" i="16"/>
  <c r="AA21" i="16"/>
  <c r="AB21" i="16"/>
  <c r="AC21" i="16"/>
  <c r="AD21" i="16"/>
  <c r="AE21" i="16"/>
  <c r="AF21" i="16"/>
  <c r="AG21" i="16"/>
  <c r="AH21" i="16"/>
  <c r="AI21" i="16"/>
  <c r="AJ21" i="16"/>
  <c r="AK21" i="16"/>
  <c r="AL21" i="16"/>
  <c r="AM21" i="16"/>
  <c r="AN21" i="16"/>
  <c r="AO21" i="16"/>
  <c r="AP21" i="16"/>
  <c r="AQ21" i="16"/>
  <c r="AR21" i="16"/>
  <c r="AS21" i="16"/>
  <c r="AT21" i="16"/>
  <c r="AU21" i="16"/>
  <c r="AV21" i="16"/>
  <c r="AW21" i="16"/>
  <c r="C20" i="16"/>
  <c r="D20" i="16"/>
  <c r="E20" i="16"/>
  <c r="F20" i="16"/>
  <c r="G20" i="16"/>
  <c r="H20" i="16"/>
  <c r="I20" i="16"/>
  <c r="J20" i="16"/>
  <c r="K20" i="16"/>
  <c r="L20" i="16"/>
  <c r="M20" i="16"/>
  <c r="N20" i="16"/>
  <c r="O20" i="16"/>
  <c r="P20" i="16"/>
  <c r="Q20" i="16"/>
  <c r="R20" i="16"/>
  <c r="S20" i="16"/>
  <c r="T20" i="16"/>
  <c r="U20" i="16"/>
  <c r="V20" i="16"/>
  <c r="W20" i="16"/>
  <c r="X20" i="16"/>
  <c r="Y20" i="16"/>
  <c r="Z20" i="16"/>
  <c r="AA20" i="16"/>
  <c r="AB20" i="16"/>
  <c r="AC20" i="16"/>
  <c r="AD20" i="16"/>
  <c r="AE20" i="16"/>
  <c r="AF20" i="16"/>
  <c r="AG20" i="16"/>
  <c r="AH20" i="16"/>
  <c r="AI20" i="16"/>
  <c r="AJ20" i="16"/>
  <c r="AK20" i="16"/>
  <c r="AL20" i="16"/>
  <c r="AM20" i="16"/>
  <c r="AN20" i="16"/>
  <c r="AO20" i="16"/>
  <c r="AP20" i="16"/>
  <c r="AQ20" i="16"/>
  <c r="AR20" i="16"/>
  <c r="AS20" i="16"/>
  <c r="AT20" i="16"/>
  <c r="AU20" i="16"/>
  <c r="AV20" i="16"/>
  <c r="AW20" i="16"/>
  <c r="C19" i="16"/>
  <c r="D19" i="16"/>
  <c r="E19" i="16"/>
  <c r="F19" i="16"/>
  <c r="G19" i="16"/>
  <c r="H19" i="16"/>
  <c r="I19" i="16"/>
  <c r="J19" i="16"/>
  <c r="K19" i="16"/>
  <c r="L19" i="16"/>
  <c r="M19" i="16"/>
  <c r="N19" i="16"/>
  <c r="O19" i="16"/>
  <c r="P19" i="16"/>
  <c r="Q19" i="16"/>
  <c r="R19" i="16"/>
  <c r="S19" i="16"/>
  <c r="T19" i="16"/>
  <c r="U19" i="16"/>
  <c r="V19" i="16"/>
  <c r="W19" i="16"/>
  <c r="X19" i="16"/>
  <c r="Y19" i="16"/>
  <c r="Z19" i="16"/>
  <c r="AA19" i="16"/>
  <c r="AB19" i="16"/>
  <c r="AC19" i="16"/>
  <c r="AD19" i="16"/>
  <c r="AE19" i="16"/>
  <c r="AF19" i="16"/>
  <c r="AG19" i="16"/>
  <c r="AH19" i="16"/>
  <c r="AI19" i="16"/>
  <c r="AJ19" i="16"/>
  <c r="AK19" i="16"/>
  <c r="AL19" i="16"/>
  <c r="AM19" i="16"/>
  <c r="AN19" i="16"/>
  <c r="AO19" i="16"/>
  <c r="AP19" i="16"/>
  <c r="AQ19" i="16"/>
  <c r="AR19" i="16"/>
  <c r="AS19" i="16"/>
  <c r="AT19" i="16"/>
  <c r="AU19" i="16"/>
  <c r="AV19" i="16"/>
  <c r="AW19" i="16"/>
  <c r="C11" i="16"/>
  <c r="D11" i="16"/>
  <c r="E11" i="16"/>
  <c r="F11" i="16"/>
  <c r="G11" i="16"/>
  <c r="H11" i="16"/>
  <c r="I11" i="16"/>
  <c r="J11" i="16"/>
  <c r="K11" i="16"/>
  <c r="L11" i="16"/>
  <c r="M11" i="16"/>
  <c r="N11" i="16"/>
  <c r="O11" i="16"/>
  <c r="P11" i="16"/>
  <c r="Q11" i="16"/>
  <c r="R11" i="16"/>
  <c r="S11" i="16"/>
  <c r="T11" i="16"/>
  <c r="U11" i="16"/>
  <c r="V11" i="16"/>
  <c r="W11" i="16"/>
  <c r="X11" i="16"/>
  <c r="Y11" i="16"/>
  <c r="Z11" i="16"/>
  <c r="AA11" i="16"/>
  <c r="AB11" i="16"/>
  <c r="AC11" i="16"/>
  <c r="AD11" i="16"/>
  <c r="AE11" i="16"/>
  <c r="AF11" i="16"/>
  <c r="AG11" i="16"/>
  <c r="AH11" i="16"/>
  <c r="AI11" i="16"/>
  <c r="AJ11" i="16"/>
  <c r="AK11" i="16"/>
  <c r="AL11" i="16"/>
  <c r="AM11" i="16"/>
  <c r="AN11" i="16"/>
  <c r="AO11" i="16"/>
  <c r="AP11" i="16"/>
  <c r="AQ11" i="16"/>
  <c r="AR11" i="16"/>
  <c r="AS11" i="16"/>
  <c r="AT11" i="16"/>
  <c r="AU11" i="16"/>
  <c r="AV11" i="16"/>
  <c r="AW11" i="16"/>
  <c r="C10" i="16"/>
  <c r="D10" i="16"/>
  <c r="E10" i="16"/>
  <c r="F10" i="16"/>
  <c r="G10" i="16"/>
  <c r="H10" i="16"/>
  <c r="I10" i="16"/>
  <c r="J10" i="16"/>
  <c r="K10" i="16"/>
  <c r="L10" i="16"/>
  <c r="M10" i="16"/>
  <c r="N10" i="16"/>
  <c r="O10" i="16"/>
  <c r="P10" i="16"/>
  <c r="Q10" i="16"/>
  <c r="R10" i="16"/>
  <c r="S10" i="16"/>
  <c r="T10" i="16"/>
  <c r="U10" i="16"/>
  <c r="V10" i="16"/>
  <c r="W10" i="16"/>
  <c r="X10" i="16"/>
  <c r="Y10" i="16"/>
  <c r="Z10" i="16"/>
  <c r="AA10" i="16"/>
  <c r="AB10" i="16"/>
  <c r="AC10" i="16"/>
  <c r="AD10" i="16"/>
  <c r="AE10" i="16"/>
  <c r="AF10" i="16"/>
  <c r="AG10" i="16"/>
  <c r="AH10" i="16"/>
  <c r="AI10" i="16"/>
  <c r="AJ10" i="16"/>
  <c r="AK10" i="16"/>
  <c r="AL10" i="16"/>
  <c r="AM10" i="16"/>
  <c r="AN10" i="16"/>
  <c r="AO10" i="16"/>
  <c r="AP10" i="16"/>
  <c r="AQ10" i="16"/>
  <c r="AR10" i="16"/>
  <c r="AS10" i="16"/>
  <c r="AT10" i="16"/>
  <c r="AU10" i="16"/>
  <c r="AV10" i="16"/>
  <c r="AW10" i="16"/>
  <c r="C9" i="16"/>
  <c r="D9" i="16"/>
  <c r="E9" i="16"/>
  <c r="F9" i="16"/>
  <c r="G9" i="16"/>
  <c r="H9" i="16"/>
  <c r="I9" i="16"/>
  <c r="J9" i="16"/>
  <c r="K9" i="16"/>
  <c r="L9" i="16"/>
  <c r="M9" i="16"/>
  <c r="N9" i="16"/>
  <c r="O9" i="16"/>
  <c r="P9" i="16"/>
  <c r="Q9" i="16"/>
  <c r="R9" i="16"/>
  <c r="S9" i="16"/>
  <c r="T9" i="16"/>
  <c r="U9" i="16"/>
  <c r="V9" i="16"/>
  <c r="W9" i="16"/>
  <c r="X9" i="16"/>
  <c r="Y9" i="16"/>
  <c r="Z9" i="16"/>
  <c r="AA9" i="16"/>
  <c r="AB9" i="16"/>
  <c r="AC9" i="16"/>
  <c r="AD9" i="16"/>
  <c r="AE9" i="16"/>
  <c r="AF9" i="16"/>
  <c r="AG9" i="16"/>
  <c r="AH9" i="16"/>
  <c r="AI9" i="16"/>
  <c r="AJ9" i="16"/>
  <c r="AK9" i="16"/>
  <c r="AL9" i="16"/>
  <c r="AM9" i="16"/>
  <c r="AN9" i="16"/>
  <c r="AO9" i="16"/>
  <c r="AP9" i="16"/>
  <c r="AQ9" i="16"/>
  <c r="AR9" i="16"/>
  <c r="AS9" i="16"/>
  <c r="AT9" i="16"/>
  <c r="AU9" i="16"/>
  <c r="AV9" i="16"/>
  <c r="AW9" i="16"/>
  <c r="B20" i="16"/>
  <c r="B19" i="16"/>
  <c r="B10" i="16"/>
  <c r="B9" i="16"/>
  <c r="C22" i="19"/>
  <c r="D22" i="19"/>
  <c r="E22" i="19"/>
  <c r="F22" i="19"/>
  <c r="G22" i="19"/>
  <c r="H22" i="19"/>
  <c r="I22" i="19"/>
  <c r="J22" i="19"/>
  <c r="K22" i="19"/>
  <c r="L22" i="19"/>
  <c r="M22" i="19"/>
  <c r="N22" i="19"/>
  <c r="O22" i="19"/>
  <c r="P22" i="19"/>
  <c r="Q22" i="19"/>
  <c r="R22" i="19"/>
  <c r="S22" i="19"/>
  <c r="T22" i="19"/>
  <c r="U22" i="19"/>
  <c r="V22" i="19"/>
  <c r="W22" i="19"/>
  <c r="X22" i="19"/>
  <c r="Y22" i="19"/>
  <c r="Z22" i="19"/>
  <c r="AA22" i="19"/>
  <c r="AB22" i="19"/>
  <c r="AC22" i="19"/>
  <c r="AD22" i="19"/>
  <c r="AE22" i="19"/>
  <c r="AF22" i="19"/>
  <c r="AG22" i="19"/>
  <c r="AH22" i="19"/>
  <c r="AI22" i="19"/>
  <c r="AJ22" i="19"/>
  <c r="AK22" i="19"/>
  <c r="AL22" i="19"/>
  <c r="AM22" i="19"/>
  <c r="AN22" i="19"/>
  <c r="AO22" i="19"/>
  <c r="AP22" i="19"/>
  <c r="AQ22" i="19"/>
  <c r="AR22" i="19"/>
  <c r="AS22" i="19"/>
  <c r="AT22" i="19"/>
  <c r="AU22" i="19"/>
  <c r="AV22" i="19"/>
  <c r="AW22" i="19"/>
  <c r="C21" i="19"/>
  <c r="D21" i="19"/>
  <c r="E21" i="19"/>
  <c r="F21" i="19"/>
  <c r="G21" i="19"/>
  <c r="H21" i="19"/>
  <c r="I21" i="19"/>
  <c r="J21" i="19"/>
  <c r="K21" i="19"/>
  <c r="L21" i="19"/>
  <c r="M21" i="19"/>
  <c r="N21" i="19"/>
  <c r="O21" i="19"/>
  <c r="P21" i="19"/>
  <c r="Q21" i="19"/>
  <c r="R21" i="19"/>
  <c r="S21" i="19"/>
  <c r="T21" i="19"/>
  <c r="U21" i="19"/>
  <c r="V21" i="19"/>
  <c r="W21" i="19"/>
  <c r="X21" i="19"/>
  <c r="Y21" i="19"/>
  <c r="Z21" i="19"/>
  <c r="AA21" i="19"/>
  <c r="AB21" i="19"/>
  <c r="AC21" i="19"/>
  <c r="AD21" i="19"/>
  <c r="AE21" i="19"/>
  <c r="AF21" i="19"/>
  <c r="AG21" i="19"/>
  <c r="AH21" i="19"/>
  <c r="AI21" i="19"/>
  <c r="AJ21" i="19"/>
  <c r="AK21" i="19"/>
  <c r="AL21" i="19"/>
  <c r="AM21" i="19"/>
  <c r="AN21" i="19"/>
  <c r="AO21" i="19"/>
  <c r="AP21" i="19"/>
  <c r="AQ21" i="19"/>
  <c r="AR21" i="19"/>
  <c r="AS21" i="19"/>
  <c r="AT21" i="19"/>
  <c r="AU21" i="19"/>
  <c r="AV21" i="19"/>
  <c r="AW21" i="19"/>
  <c r="C20" i="19"/>
  <c r="D20" i="19"/>
  <c r="E20" i="19"/>
  <c r="F20" i="19"/>
  <c r="G20" i="19"/>
  <c r="H20" i="19"/>
  <c r="I20" i="19"/>
  <c r="J20" i="19"/>
  <c r="K20" i="19"/>
  <c r="L20" i="19"/>
  <c r="M20" i="19"/>
  <c r="N20" i="19"/>
  <c r="O20" i="19"/>
  <c r="P20" i="19"/>
  <c r="Q20" i="19"/>
  <c r="R20" i="19"/>
  <c r="S20" i="19"/>
  <c r="T20" i="19"/>
  <c r="U20" i="19"/>
  <c r="V20" i="19"/>
  <c r="W20" i="19"/>
  <c r="X20" i="19"/>
  <c r="Y20" i="19"/>
  <c r="Z20" i="19"/>
  <c r="AA20" i="19"/>
  <c r="AB20" i="19"/>
  <c r="AC20" i="19"/>
  <c r="AD20" i="19"/>
  <c r="AE20" i="19"/>
  <c r="AF20" i="19"/>
  <c r="AG20" i="19"/>
  <c r="AH20" i="19"/>
  <c r="AI20" i="19"/>
  <c r="AJ20" i="19"/>
  <c r="AK20" i="19"/>
  <c r="AL20" i="19"/>
  <c r="AM20" i="19"/>
  <c r="AN20" i="19"/>
  <c r="AO20" i="19"/>
  <c r="AP20" i="19"/>
  <c r="AQ20" i="19"/>
  <c r="AR20" i="19"/>
  <c r="AS20" i="19"/>
  <c r="AT20" i="19"/>
  <c r="AU20" i="19"/>
  <c r="AV20" i="19"/>
  <c r="AW20" i="19"/>
  <c r="C19" i="19"/>
  <c r="D19" i="19"/>
  <c r="E19" i="19"/>
  <c r="F19" i="19"/>
  <c r="G19" i="19"/>
  <c r="H19" i="19"/>
  <c r="I19" i="19"/>
  <c r="J19" i="19"/>
  <c r="K19" i="19"/>
  <c r="L19" i="19"/>
  <c r="M19" i="19"/>
  <c r="N19" i="19"/>
  <c r="O19" i="19"/>
  <c r="P19" i="19"/>
  <c r="Q19" i="19"/>
  <c r="R19" i="19"/>
  <c r="S19" i="19"/>
  <c r="T19" i="19"/>
  <c r="U19" i="19"/>
  <c r="V19" i="19"/>
  <c r="W19" i="19"/>
  <c r="X19" i="19"/>
  <c r="Y19" i="19"/>
  <c r="Z19" i="19"/>
  <c r="AA19" i="19"/>
  <c r="AB19" i="19"/>
  <c r="AC19" i="19"/>
  <c r="AD19" i="19"/>
  <c r="AE19" i="19"/>
  <c r="AF19" i="19"/>
  <c r="AG19" i="19"/>
  <c r="AH19" i="19"/>
  <c r="AI19" i="19"/>
  <c r="AJ19" i="19"/>
  <c r="AK19" i="19"/>
  <c r="AL19" i="19"/>
  <c r="AM19" i="19"/>
  <c r="AN19" i="19"/>
  <c r="AO19" i="19"/>
  <c r="AP19" i="19"/>
  <c r="AQ19" i="19"/>
  <c r="AR19" i="19"/>
  <c r="AS19" i="19"/>
  <c r="AT19" i="19"/>
  <c r="AU19" i="19"/>
  <c r="AV19" i="19"/>
  <c r="AW19" i="19"/>
  <c r="C11" i="19"/>
  <c r="D11" i="19"/>
  <c r="E11" i="19"/>
  <c r="F11" i="19"/>
  <c r="G11" i="19"/>
  <c r="H11" i="19"/>
  <c r="I11" i="19"/>
  <c r="J11" i="19"/>
  <c r="K11" i="19"/>
  <c r="L11" i="19"/>
  <c r="M11" i="19"/>
  <c r="N11" i="19"/>
  <c r="O11" i="19"/>
  <c r="P11" i="19"/>
  <c r="Q11" i="19"/>
  <c r="R11" i="19"/>
  <c r="S11" i="19"/>
  <c r="T11" i="19"/>
  <c r="U11" i="19"/>
  <c r="V11" i="19"/>
  <c r="W11" i="19"/>
  <c r="X11" i="19"/>
  <c r="Y11" i="19"/>
  <c r="Z11" i="19"/>
  <c r="AA11" i="19"/>
  <c r="AB11" i="19"/>
  <c r="AC11" i="19"/>
  <c r="AD11" i="19"/>
  <c r="AE11" i="19"/>
  <c r="AF11" i="19"/>
  <c r="AG11" i="19"/>
  <c r="AH11" i="19"/>
  <c r="AI11" i="19"/>
  <c r="AJ11" i="19"/>
  <c r="AK11" i="19"/>
  <c r="AL11" i="19"/>
  <c r="AM11" i="19"/>
  <c r="AN11" i="19"/>
  <c r="AO11" i="19"/>
  <c r="AP11" i="19"/>
  <c r="AQ11" i="19"/>
  <c r="AR11" i="19"/>
  <c r="AS11" i="19"/>
  <c r="AT11" i="19"/>
  <c r="AU11" i="19"/>
  <c r="AV11" i="19"/>
  <c r="AW11" i="19"/>
  <c r="C10" i="19"/>
  <c r="D10" i="19"/>
  <c r="E10" i="19"/>
  <c r="F10" i="19"/>
  <c r="G10" i="19"/>
  <c r="H10" i="19"/>
  <c r="I10" i="19"/>
  <c r="J10" i="19"/>
  <c r="K10" i="19"/>
  <c r="L10" i="19"/>
  <c r="M10" i="19"/>
  <c r="N10" i="19"/>
  <c r="O10" i="19"/>
  <c r="P10" i="19"/>
  <c r="Q10" i="19"/>
  <c r="R10" i="19"/>
  <c r="S10" i="19"/>
  <c r="T10" i="19"/>
  <c r="U10" i="19"/>
  <c r="V10" i="19"/>
  <c r="W10" i="19"/>
  <c r="X10" i="19"/>
  <c r="Y10" i="19"/>
  <c r="Z10" i="19"/>
  <c r="AA10" i="19"/>
  <c r="AB10" i="19"/>
  <c r="AC10" i="19"/>
  <c r="AD10" i="19"/>
  <c r="AE10" i="19"/>
  <c r="AF10" i="19"/>
  <c r="AG10" i="19"/>
  <c r="AH10" i="19"/>
  <c r="AI10" i="19"/>
  <c r="AJ10" i="19"/>
  <c r="AK10" i="19"/>
  <c r="AL10" i="19"/>
  <c r="AM10" i="19"/>
  <c r="AN10" i="19"/>
  <c r="AO10" i="19"/>
  <c r="AP10" i="19"/>
  <c r="AQ10" i="19"/>
  <c r="AR10" i="19"/>
  <c r="AS10" i="19"/>
  <c r="AT10" i="19"/>
  <c r="AU10" i="19"/>
  <c r="AV10" i="19"/>
  <c r="AW10" i="19"/>
  <c r="C9" i="19"/>
  <c r="D9" i="19"/>
  <c r="E9" i="19"/>
  <c r="F9" i="19"/>
  <c r="G9" i="19"/>
  <c r="H9" i="19"/>
  <c r="I9" i="19"/>
  <c r="J9" i="19"/>
  <c r="K9" i="19"/>
  <c r="L9" i="19"/>
  <c r="M9" i="19"/>
  <c r="N9" i="19"/>
  <c r="O9" i="19"/>
  <c r="P9" i="19"/>
  <c r="Q9" i="19"/>
  <c r="R9" i="19"/>
  <c r="S9" i="19"/>
  <c r="T9" i="19"/>
  <c r="U9" i="19"/>
  <c r="V9" i="19"/>
  <c r="W9" i="19"/>
  <c r="X9" i="19"/>
  <c r="Y9" i="19"/>
  <c r="Z9" i="19"/>
  <c r="AA9" i="19"/>
  <c r="AB9" i="19"/>
  <c r="AC9" i="19"/>
  <c r="AD9" i="19"/>
  <c r="AE9" i="19"/>
  <c r="AF9" i="19"/>
  <c r="AG9" i="19"/>
  <c r="AH9" i="19"/>
  <c r="AI9" i="19"/>
  <c r="AJ9" i="19"/>
  <c r="AK9" i="19"/>
  <c r="AL9" i="19"/>
  <c r="AM9" i="19"/>
  <c r="AN9" i="19"/>
  <c r="AO9" i="19"/>
  <c r="AP9" i="19"/>
  <c r="AQ9" i="19"/>
  <c r="AR9" i="19"/>
  <c r="AS9" i="19"/>
  <c r="AT9" i="19"/>
  <c r="AU9" i="19"/>
  <c r="AV9" i="19"/>
  <c r="AW9" i="19"/>
  <c r="B20" i="19"/>
  <c r="B19" i="19"/>
  <c r="B10" i="19"/>
  <c r="B9" i="19"/>
  <c r="C22" i="18"/>
  <c r="D22" i="18"/>
  <c r="E22" i="18"/>
  <c r="F22" i="18"/>
  <c r="G22" i="18"/>
  <c r="H22" i="18"/>
  <c r="I22" i="18"/>
  <c r="J22" i="18"/>
  <c r="K22" i="18"/>
  <c r="L22" i="18"/>
  <c r="M22" i="18"/>
  <c r="N22" i="18"/>
  <c r="O22" i="18"/>
  <c r="P22" i="18"/>
  <c r="Q22" i="18"/>
  <c r="R22" i="18"/>
  <c r="S22" i="18"/>
  <c r="T22" i="18"/>
  <c r="U22" i="18"/>
  <c r="V22" i="18"/>
  <c r="W22" i="18"/>
  <c r="X22" i="18"/>
  <c r="Y22" i="18"/>
  <c r="Z22" i="18"/>
  <c r="AA22" i="18"/>
  <c r="AB22" i="18"/>
  <c r="AC22" i="18"/>
  <c r="AD22" i="18"/>
  <c r="AE22" i="18"/>
  <c r="AF22" i="18"/>
  <c r="AG22" i="18"/>
  <c r="AH22" i="18"/>
  <c r="AI22" i="18"/>
  <c r="AJ22" i="18"/>
  <c r="AK22" i="18"/>
  <c r="AL22" i="18"/>
  <c r="AM22" i="18"/>
  <c r="AN22" i="18"/>
  <c r="AO22" i="18"/>
  <c r="AP22" i="18"/>
  <c r="AQ22" i="18"/>
  <c r="AR22" i="18"/>
  <c r="AS22" i="18"/>
  <c r="AT22" i="18"/>
  <c r="AU22" i="18"/>
  <c r="AV22" i="18"/>
  <c r="AW22" i="18"/>
  <c r="C21" i="18"/>
  <c r="D21" i="18"/>
  <c r="E21" i="18"/>
  <c r="F21" i="18"/>
  <c r="G21" i="18"/>
  <c r="H21" i="18"/>
  <c r="I21" i="18"/>
  <c r="J21" i="18"/>
  <c r="K21" i="18"/>
  <c r="L21" i="18"/>
  <c r="M21" i="18"/>
  <c r="N21" i="18"/>
  <c r="O21" i="18"/>
  <c r="P21" i="18"/>
  <c r="Q21" i="18"/>
  <c r="R21" i="18"/>
  <c r="S21" i="18"/>
  <c r="T21" i="18"/>
  <c r="U21" i="18"/>
  <c r="V21" i="18"/>
  <c r="W21" i="18"/>
  <c r="X21" i="18"/>
  <c r="Y21" i="18"/>
  <c r="Z21" i="18"/>
  <c r="AA21" i="18"/>
  <c r="AB21" i="18"/>
  <c r="AC21" i="18"/>
  <c r="AD21" i="18"/>
  <c r="AE21" i="18"/>
  <c r="AF21" i="18"/>
  <c r="AG21" i="18"/>
  <c r="AH21" i="18"/>
  <c r="AI21" i="18"/>
  <c r="AJ21" i="18"/>
  <c r="AK21" i="18"/>
  <c r="AL21" i="18"/>
  <c r="AM21" i="18"/>
  <c r="AN21" i="18"/>
  <c r="AO21" i="18"/>
  <c r="AP21" i="18"/>
  <c r="AQ21" i="18"/>
  <c r="AR21" i="18"/>
  <c r="AS21" i="18"/>
  <c r="AT21" i="18"/>
  <c r="AU21" i="18"/>
  <c r="AV21" i="18"/>
  <c r="AW21" i="18"/>
  <c r="C20" i="18"/>
  <c r="D20" i="18"/>
  <c r="E20" i="18"/>
  <c r="F20" i="18"/>
  <c r="G20" i="18"/>
  <c r="H20" i="18"/>
  <c r="I20" i="18"/>
  <c r="J20" i="18"/>
  <c r="K20" i="18"/>
  <c r="L20" i="18"/>
  <c r="M20" i="18"/>
  <c r="N20" i="18"/>
  <c r="O20" i="18"/>
  <c r="P20" i="18"/>
  <c r="Q20" i="18"/>
  <c r="R20" i="18"/>
  <c r="S20" i="18"/>
  <c r="T20" i="18"/>
  <c r="U20" i="18"/>
  <c r="V20" i="18"/>
  <c r="W20" i="18"/>
  <c r="X20" i="18"/>
  <c r="Y20" i="18"/>
  <c r="Z20" i="18"/>
  <c r="AA20" i="18"/>
  <c r="AB20" i="18"/>
  <c r="AC20" i="18"/>
  <c r="AD20" i="18"/>
  <c r="AE20" i="18"/>
  <c r="AF20" i="18"/>
  <c r="AG20" i="18"/>
  <c r="AH20" i="18"/>
  <c r="AI20" i="18"/>
  <c r="AJ20" i="18"/>
  <c r="AK20" i="18"/>
  <c r="AL20" i="18"/>
  <c r="AM20" i="18"/>
  <c r="AN20" i="18"/>
  <c r="AO20" i="18"/>
  <c r="AP20" i="18"/>
  <c r="AQ20" i="18"/>
  <c r="AR20" i="18"/>
  <c r="AS20" i="18"/>
  <c r="AT20" i="18"/>
  <c r="AU20" i="18"/>
  <c r="AV20" i="18"/>
  <c r="AW20" i="18"/>
  <c r="C19" i="18"/>
  <c r="D19" i="18"/>
  <c r="E19" i="18"/>
  <c r="F19" i="18"/>
  <c r="G19" i="18"/>
  <c r="H19" i="18"/>
  <c r="I19" i="18"/>
  <c r="J19" i="18"/>
  <c r="K19" i="18"/>
  <c r="L19" i="18"/>
  <c r="M19" i="18"/>
  <c r="N19" i="18"/>
  <c r="O19" i="18"/>
  <c r="P19" i="18"/>
  <c r="Q19" i="18"/>
  <c r="R19" i="18"/>
  <c r="S19" i="18"/>
  <c r="T19" i="18"/>
  <c r="U19" i="18"/>
  <c r="V19" i="18"/>
  <c r="W19" i="18"/>
  <c r="X19" i="18"/>
  <c r="Y19" i="18"/>
  <c r="Z19" i="18"/>
  <c r="AA19" i="18"/>
  <c r="AB19" i="18"/>
  <c r="AC19" i="18"/>
  <c r="AD19" i="18"/>
  <c r="AE19" i="18"/>
  <c r="AF19" i="18"/>
  <c r="AG19" i="18"/>
  <c r="AH19" i="18"/>
  <c r="AI19" i="18"/>
  <c r="AJ19" i="18"/>
  <c r="AK19" i="18"/>
  <c r="AL19" i="18"/>
  <c r="AM19" i="18"/>
  <c r="AN19" i="18"/>
  <c r="AO19" i="18"/>
  <c r="AP19" i="18"/>
  <c r="AQ19" i="18"/>
  <c r="AR19" i="18"/>
  <c r="AS19" i="18"/>
  <c r="AT19" i="18"/>
  <c r="AU19" i="18"/>
  <c r="AV19" i="18"/>
  <c r="AW19" i="18"/>
  <c r="C11" i="18"/>
  <c r="D11" i="18"/>
  <c r="E11" i="18"/>
  <c r="F11" i="18"/>
  <c r="G11" i="18"/>
  <c r="H11" i="18"/>
  <c r="I11" i="18"/>
  <c r="J11" i="18"/>
  <c r="K11" i="18"/>
  <c r="L11" i="18"/>
  <c r="M11" i="18"/>
  <c r="N11" i="18"/>
  <c r="O11" i="18"/>
  <c r="P11" i="18"/>
  <c r="Q11" i="18"/>
  <c r="R11" i="18"/>
  <c r="S11" i="18"/>
  <c r="T11" i="18"/>
  <c r="U11" i="18"/>
  <c r="V11" i="18"/>
  <c r="W11" i="18"/>
  <c r="X11" i="18"/>
  <c r="Y11" i="18"/>
  <c r="Z11" i="18"/>
  <c r="AA11" i="18"/>
  <c r="AB11" i="18"/>
  <c r="AC11" i="18"/>
  <c r="AD11" i="18"/>
  <c r="AE11" i="18"/>
  <c r="AF11" i="18"/>
  <c r="AG11" i="18"/>
  <c r="AH11" i="18"/>
  <c r="AI11" i="18"/>
  <c r="AJ11" i="18"/>
  <c r="AK11" i="18"/>
  <c r="AL11" i="18"/>
  <c r="AM11" i="18"/>
  <c r="AN11" i="18"/>
  <c r="AO11" i="18"/>
  <c r="AP11" i="18"/>
  <c r="AQ11" i="18"/>
  <c r="AR11" i="18"/>
  <c r="AS11" i="18"/>
  <c r="AT11" i="18"/>
  <c r="AU11" i="18"/>
  <c r="AV11" i="18"/>
  <c r="AW11" i="18"/>
  <c r="C10" i="18"/>
  <c r="D10" i="18"/>
  <c r="E10" i="18"/>
  <c r="F10" i="18"/>
  <c r="G10" i="18"/>
  <c r="H10" i="18"/>
  <c r="I10" i="18"/>
  <c r="J10" i="18"/>
  <c r="K10" i="18"/>
  <c r="L10" i="18"/>
  <c r="M10" i="18"/>
  <c r="N10" i="18"/>
  <c r="O10" i="18"/>
  <c r="P10" i="18"/>
  <c r="Q10" i="18"/>
  <c r="R10" i="18"/>
  <c r="S10" i="18"/>
  <c r="T10" i="18"/>
  <c r="U10" i="18"/>
  <c r="V10" i="18"/>
  <c r="W10" i="18"/>
  <c r="X10" i="18"/>
  <c r="Y10" i="18"/>
  <c r="Z10" i="18"/>
  <c r="AA10" i="18"/>
  <c r="AB10" i="18"/>
  <c r="AC10" i="18"/>
  <c r="AD10" i="18"/>
  <c r="AE10" i="18"/>
  <c r="AF10" i="18"/>
  <c r="AG10" i="18"/>
  <c r="AH10" i="18"/>
  <c r="AI10" i="18"/>
  <c r="AJ10" i="18"/>
  <c r="AK10" i="18"/>
  <c r="AL10" i="18"/>
  <c r="AM10" i="18"/>
  <c r="AN10" i="18"/>
  <c r="AO10" i="18"/>
  <c r="AP10" i="18"/>
  <c r="AQ10" i="18"/>
  <c r="AR10" i="18"/>
  <c r="AS10" i="18"/>
  <c r="AT10" i="18"/>
  <c r="AU10" i="18"/>
  <c r="AV10" i="18"/>
  <c r="AW10" i="18"/>
  <c r="C9" i="18"/>
  <c r="D9" i="18"/>
  <c r="E9" i="18"/>
  <c r="F9" i="18"/>
  <c r="G9" i="18"/>
  <c r="H9" i="18"/>
  <c r="I9" i="18"/>
  <c r="J9" i="18"/>
  <c r="K9" i="18"/>
  <c r="L9" i="18"/>
  <c r="M9" i="18"/>
  <c r="N9" i="18"/>
  <c r="O9" i="18"/>
  <c r="P9" i="18"/>
  <c r="Q9" i="18"/>
  <c r="R9" i="18"/>
  <c r="S9" i="18"/>
  <c r="T9" i="18"/>
  <c r="U9" i="18"/>
  <c r="V9" i="18"/>
  <c r="W9" i="18"/>
  <c r="X9" i="18"/>
  <c r="Y9" i="18"/>
  <c r="Z9" i="18"/>
  <c r="AA9" i="18"/>
  <c r="AB9" i="18"/>
  <c r="AC9" i="18"/>
  <c r="AD9" i="18"/>
  <c r="AE9" i="18"/>
  <c r="AF9" i="18"/>
  <c r="AG9" i="18"/>
  <c r="AH9" i="18"/>
  <c r="AI9" i="18"/>
  <c r="AJ9" i="18"/>
  <c r="AK9" i="18"/>
  <c r="AL9" i="18"/>
  <c r="AM9" i="18"/>
  <c r="AN9" i="18"/>
  <c r="AO9" i="18"/>
  <c r="AP9" i="18"/>
  <c r="AQ9" i="18"/>
  <c r="AR9" i="18"/>
  <c r="AS9" i="18"/>
  <c r="AT9" i="18"/>
  <c r="AU9" i="18"/>
  <c r="AV9" i="18"/>
  <c r="AW9" i="18"/>
  <c r="B20" i="18"/>
  <c r="B19" i="18"/>
  <c r="B10" i="18"/>
  <c r="B9" i="18"/>
  <c r="C21" i="12"/>
  <c r="D21" i="12"/>
  <c r="E21" i="12"/>
  <c r="F21" i="12"/>
  <c r="G21" i="12"/>
  <c r="H21" i="12"/>
  <c r="I21" i="12"/>
  <c r="J21" i="12"/>
  <c r="K21" i="12"/>
  <c r="L21" i="12"/>
  <c r="M21" i="12"/>
  <c r="N21" i="12"/>
  <c r="O21" i="12"/>
  <c r="P21" i="12"/>
  <c r="Q21" i="12"/>
  <c r="R21" i="12"/>
  <c r="S21" i="12"/>
  <c r="T21" i="12"/>
  <c r="U21" i="12"/>
  <c r="V21" i="12"/>
  <c r="W21" i="12"/>
  <c r="X21" i="12"/>
  <c r="Y21" i="12"/>
  <c r="Z21" i="12"/>
  <c r="AA21" i="12"/>
  <c r="AB21" i="12"/>
  <c r="AC21" i="12"/>
  <c r="AD21" i="12"/>
  <c r="AE21" i="12"/>
  <c r="AF21" i="12"/>
  <c r="AG21" i="12"/>
  <c r="AH21" i="12"/>
  <c r="AI21" i="12"/>
  <c r="AJ21" i="12"/>
  <c r="AK21" i="12"/>
  <c r="AL21" i="12"/>
  <c r="AM21" i="12"/>
  <c r="AN21" i="12"/>
  <c r="AO21" i="12"/>
  <c r="AP21" i="12"/>
  <c r="AQ21" i="12"/>
  <c r="AR21" i="12"/>
  <c r="AS21" i="12"/>
  <c r="AT21" i="12"/>
  <c r="AU21" i="12"/>
  <c r="AV21" i="12"/>
  <c r="AW21" i="12"/>
  <c r="C20" i="12"/>
  <c r="D20" i="12"/>
  <c r="E20" i="12"/>
  <c r="F20" i="12"/>
  <c r="F22" i="12" s="1"/>
  <c r="G20" i="12"/>
  <c r="H20" i="12"/>
  <c r="I20" i="12"/>
  <c r="J20" i="12"/>
  <c r="K20" i="12"/>
  <c r="L20" i="12"/>
  <c r="M20" i="12"/>
  <c r="N20" i="12"/>
  <c r="O20" i="12"/>
  <c r="P20" i="12"/>
  <c r="Q20" i="12"/>
  <c r="R20" i="12"/>
  <c r="S20" i="12"/>
  <c r="T20" i="12"/>
  <c r="U20" i="12"/>
  <c r="V20" i="12"/>
  <c r="W20" i="12"/>
  <c r="X20" i="12"/>
  <c r="Y20" i="12"/>
  <c r="Z20" i="12"/>
  <c r="AA20" i="12"/>
  <c r="AB20" i="12"/>
  <c r="AC20" i="12"/>
  <c r="AD20" i="12"/>
  <c r="AE20" i="12"/>
  <c r="AF20" i="12"/>
  <c r="AG20" i="12"/>
  <c r="AH20" i="12"/>
  <c r="AI20" i="12"/>
  <c r="AJ20" i="12"/>
  <c r="AK20" i="12"/>
  <c r="AL20" i="12"/>
  <c r="AM20" i="12"/>
  <c r="AN20" i="12"/>
  <c r="AO20" i="12"/>
  <c r="AP20" i="12"/>
  <c r="AQ20" i="12"/>
  <c r="AR20" i="12"/>
  <c r="AS20" i="12"/>
  <c r="AT20" i="12"/>
  <c r="AU20" i="12"/>
  <c r="AV20" i="12"/>
  <c r="AW20" i="12"/>
  <c r="C19" i="12"/>
  <c r="D19" i="12"/>
  <c r="E19" i="12"/>
  <c r="F19" i="12"/>
  <c r="G19" i="12"/>
  <c r="H19" i="12"/>
  <c r="I19" i="12"/>
  <c r="J19" i="12"/>
  <c r="J22" i="12" s="1"/>
  <c r="K19" i="12"/>
  <c r="L19" i="12"/>
  <c r="M19" i="12"/>
  <c r="N19" i="12"/>
  <c r="O19" i="12"/>
  <c r="P19" i="12"/>
  <c r="Q19" i="12"/>
  <c r="R19" i="12"/>
  <c r="R22" i="12" s="1"/>
  <c r="S19" i="12"/>
  <c r="T19" i="12"/>
  <c r="U19" i="12"/>
  <c r="V19" i="12"/>
  <c r="W19" i="12"/>
  <c r="X19" i="12"/>
  <c r="Y19" i="12"/>
  <c r="Z19" i="12"/>
  <c r="AA19" i="12"/>
  <c r="AB19" i="12"/>
  <c r="AC19" i="12"/>
  <c r="AD19" i="12"/>
  <c r="AE19" i="12"/>
  <c r="AF19" i="12"/>
  <c r="AG19" i="12"/>
  <c r="AH19" i="12"/>
  <c r="AI19" i="12"/>
  <c r="AJ19" i="12"/>
  <c r="AK19" i="12"/>
  <c r="AL19" i="12"/>
  <c r="AM19" i="12"/>
  <c r="AN19" i="12"/>
  <c r="AO19" i="12"/>
  <c r="AP19" i="12"/>
  <c r="AQ19" i="12"/>
  <c r="AR19" i="12"/>
  <c r="AS19" i="12"/>
  <c r="AT19" i="12"/>
  <c r="AU19" i="12"/>
  <c r="AV19" i="12"/>
  <c r="AW19" i="12"/>
  <c r="C11" i="12"/>
  <c r="D11" i="12"/>
  <c r="E11" i="12"/>
  <c r="F11" i="12"/>
  <c r="G11" i="12"/>
  <c r="H11" i="12"/>
  <c r="I11" i="12"/>
  <c r="J11" i="12"/>
  <c r="K11" i="12"/>
  <c r="L11" i="12"/>
  <c r="M11" i="12"/>
  <c r="N11" i="12"/>
  <c r="O11" i="12"/>
  <c r="P11" i="12"/>
  <c r="Q11" i="12"/>
  <c r="R11" i="12"/>
  <c r="S11" i="12"/>
  <c r="T11" i="12"/>
  <c r="U11" i="12"/>
  <c r="V11" i="12"/>
  <c r="W11" i="12"/>
  <c r="X11" i="12"/>
  <c r="Y11" i="12"/>
  <c r="Z11" i="12"/>
  <c r="AA11" i="12"/>
  <c r="AB11" i="12"/>
  <c r="AC11" i="12"/>
  <c r="AD11" i="12"/>
  <c r="AE11" i="12"/>
  <c r="AF11" i="12"/>
  <c r="AG11" i="12"/>
  <c r="AH11" i="12"/>
  <c r="AI11" i="12"/>
  <c r="AJ11" i="12"/>
  <c r="AK11" i="12"/>
  <c r="AL11" i="12"/>
  <c r="AM11" i="12"/>
  <c r="AN11" i="12"/>
  <c r="AO11" i="12"/>
  <c r="AP11" i="12"/>
  <c r="AQ11" i="12"/>
  <c r="AR11" i="12"/>
  <c r="AS11" i="12"/>
  <c r="AT11" i="12"/>
  <c r="AU11" i="12"/>
  <c r="AV11" i="12"/>
  <c r="AW11" i="12"/>
  <c r="C10" i="12"/>
  <c r="D10" i="12"/>
  <c r="E10" i="12"/>
  <c r="F10" i="12"/>
  <c r="G10" i="12"/>
  <c r="H10" i="12"/>
  <c r="I10" i="12"/>
  <c r="J10" i="12"/>
  <c r="K10" i="12"/>
  <c r="L10" i="12"/>
  <c r="M10" i="12"/>
  <c r="N10" i="12"/>
  <c r="O10" i="12"/>
  <c r="P10" i="12"/>
  <c r="Q10" i="12"/>
  <c r="R10" i="12"/>
  <c r="S10" i="12"/>
  <c r="T10" i="12"/>
  <c r="U10" i="12"/>
  <c r="V10" i="12"/>
  <c r="W10" i="12"/>
  <c r="X10" i="12"/>
  <c r="Y10" i="12"/>
  <c r="Z10" i="12"/>
  <c r="AA10" i="12"/>
  <c r="AB10" i="12"/>
  <c r="AC10" i="12"/>
  <c r="AD10" i="12"/>
  <c r="AE10" i="12"/>
  <c r="AF10" i="12"/>
  <c r="AG10" i="12"/>
  <c r="AH10" i="12"/>
  <c r="AI10" i="12"/>
  <c r="AJ10" i="12"/>
  <c r="AK10" i="12"/>
  <c r="AL10" i="12"/>
  <c r="AM10" i="12"/>
  <c r="AN10" i="12"/>
  <c r="AO10" i="12"/>
  <c r="AP10" i="12"/>
  <c r="AQ10" i="12"/>
  <c r="AR10" i="12"/>
  <c r="AS10" i="12"/>
  <c r="AT10" i="12"/>
  <c r="AU10" i="12"/>
  <c r="AV10" i="12"/>
  <c r="AW10" i="12"/>
  <c r="C9" i="12"/>
  <c r="D9" i="12"/>
  <c r="E9" i="12"/>
  <c r="F9" i="12"/>
  <c r="G9" i="12"/>
  <c r="G22" i="12" s="1"/>
  <c r="H9" i="12"/>
  <c r="I9" i="12"/>
  <c r="J9" i="12"/>
  <c r="K9" i="12"/>
  <c r="L9" i="12"/>
  <c r="M9" i="12"/>
  <c r="N9" i="12"/>
  <c r="O9" i="12"/>
  <c r="O22" i="12" s="1"/>
  <c r="P9" i="12"/>
  <c r="Q9" i="12"/>
  <c r="R9" i="12"/>
  <c r="S9" i="12"/>
  <c r="T9" i="12"/>
  <c r="U9" i="12"/>
  <c r="V9" i="12"/>
  <c r="W9" i="12"/>
  <c r="W22" i="12" s="1"/>
  <c r="X9" i="12"/>
  <c r="Y9" i="12"/>
  <c r="Z9" i="12"/>
  <c r="AA9" i="12"/>
  <c r="AB9" i="12"/>
  <c r="AC9" i="12"/>
  <c r="AD9" i="12"/>
  <c r="AE9" i="12"/>
  <c r="AF9" i="12"/>
  <c r="AG9" i="12"/>
  <c r="AH9" i="12"/>
  <c r="AI9" i="12"/>
  <c r="AJ9" i="12"/>
  <c r="AK9" i="12"/>
  <c r="AL9" i="12"/>
  <c r="AM9" i="12"/>
  <c r="AN9" i="12"/>
  <c r="AO9" i="12"/>
  <c r="AP9" i="12"/>
  <c r="AQ9" i="12"/>
  <c r="AR9" i="12"/>
  <c r="AS9" i="12"/>
  <c r="AT9" i="12"/>
  <c r="AU9" i="12"/>
  <c r="AV9" i="12"/>
  <c r="AW9" i="12"/>
  <c r="C21" i="10"/>
  <c r="D21" i="10"/>
  <c r="E21" i="10"/>
  <c r="F21" i="10"/>
  <c r="G21" i="10"/>
  <c r="H21" i="10"/>
  <c r="I21" i="10"/>
  <c r="J21" i="10"/>
  <c r="K21" i="10"/>
  <c r="L21" i="10"/>
  <c r="M21" i="10"/>
  <c r="N21" i="10"/>
  <c r="O21" i="10"/>
  <c r="P21" i="10"/>
  <c r="Q21" i="10"/>
  <c r="R21" i="10"/>
  <c r="S21" i="10"/>
  <c r="T21" i="10"/>
  <c r="U21" i="10"/>
  <c r="V21" i="10"/>
  <c r="W21" i="10"/>
  <c r="X21" i="10"/>
  <c r="Y21" i="10"/>
  <c r="Z21" i="10"/>
  <c r="AA21" i="10"/>
  <c r="AB21" i="10"/>
  <c r="AC21" i="10"/>
  <c r="AD21" i="10"/>
  <c r="AE21" i="10"/>
  <c r="AF21" i="10"/>
  <c r="AG21" i="10"/>
  <c r="AH21" i="10"/>
  <c r="AI21" i="10"/>
  <c r="AJ21" i="10"/>
  <c r="AK21" i="10"/>
  <c r="AL21" i="10"/>
  <c r="AM21" i="10"/>
  <c r="AN21" i="10"/>
  <c r="AO21" i="10"/>
  <c r="AP21" i="10"/>
  <c r="AQ21" i="10"/>
  <c r="AR21" i="10"/>
  <c r="AS21" i="10"/>
  <c r="AT21" i="10"/>
  <c r="AU21" i="10"/>
  <c r="AV21" i="10"/>
  <c r="AW21" i="10"/>
  <c r="C20" i="10"/>
  <c r="D20" i="10"/>
  <c r="E20" i="10"/>
  <c r="F20" i="10"/>
  <c r="G20" i="10"/>
  <c r="H20" i="10"/>
  <c r="I20" i="10"/>
  <c r="J20" i="10"/>
  <c r="K20" i="10"/>
  <c r="L20" i="10"/>
  <c r="M20" i="10"/>
  <c r="N20" i="10"/>
  <c r="O20" i="10"/>
  <c r="P20" i="10"/>
  <c r="Q20" i="10"/>
  <c r="R20" i="10"/>
  <c r="S20" i="10"/>
  <c r="T20" i="10"/>
  <c r="U20" i="10"/>
  <c r="V20" i="10"/>
  <c r="W20" i="10"/>
  <c r="X20" i="10"/>
  <c r="Y20" i="10"/>
  <c r="Z20" i="10"/>
  <c r="AA20" i="10"/>
  <c r="AB20" i="10"/>
  <c r="AC20" i="10"/>
  <c r="AD20" i="10"/>
  <c r="AE20" i="10"/>
  <c r="AF20" i="10"/>
  <c r="AG20" i="10"/>
  <c r="AH20" i="10"/>
  <c r="AI20" i="10"/>
  <c r="AJ20" i="10"/>
  <c r="AK20" i="10"/>
  <c r="AL20" i="10"/>
  <c r="AM20" i="10"/>
  <c r="AN20" i="10"/>
  <c r="AO20" i="10"/>
  <c r="AP20" i="10"/>
  <c r="AQ20" i="10"/>
  <c r="AR20" i="10"/>
  <c r="AS20" i="10"/>
  <c r="AT20" i="10"/>
  <c r="AU20" i="10"/>
  <c r="AV20" i="10"/>
  <c r="AW20" i="10"/>
  <c r="C19" i="10"/>
  <c r="D19" i="10"/>
  <c r="E19" i="10"/>
  <c r="F19" i="10"/>
  <c r="G19" i="10"/>
  <c r="H19" i="10"/>
  <c r="I19" i="10"/>
  <c r="J19" i="10"/>
  <c r="K19" i="10"/>
  <c r="L19" i="10"/>
  <c r="M19" i="10"/>
  <c r="N19" i="10"/>
  <c r="O19" i="10"/>
  <c r="P19" i="10"/>
  <c r="Q19" i="10"/>
  <c r="R19" i="10"/>
  <c r="S19" i="10"/>
  <c r="T19" i="10"/>
  <c r="U19" i="10"/>
  <c r="V19" i="10"/>
  <c r="W19" i="10"/>
  <c r="X19" i="10"/>
  <c r="Y19" i="10"/>
  <c r="Z19" i="10"/>
  <c r="AA19" i="10"/>
  <c r="AB19" i="10"/>
  <c r="AC19" i="10"/>
  <c r="AD19" i="10"/>
  <c r="AE19" i="10"/>
  <c r="AF19" i="10"/>
  <c r="AG19" i="10"/>
  <c r="AH19" i="10"/>
  <c r="AI19" i="10"/>
  <c r="AJ19" i="10"/>
  <c r="AK19" i="10"/>
  <c r="AL19" i="10"/>
  <c r="AM19" i="10"/>
  <c r="AN19" i="10"/>
  <c r="AO19" i="10"/>
  <c r="AP19" i="10"/>
  <c r="AQ19" i="10"/>
  <c r="AR19" i="10"/>
  <c r="AS19" i="10"/>
  <c r="AT19" i="10"/>
  <c r="AU19" i="10"/>
  <c r="AV19" i="10"/>
  <c r="AW19" i="10"/>
  <c r="C10" i="10"/>
  <c r="D10" i="10"/>
  <c r="E10" i="10"/>
  <c r="F10" i="10"/>
  <c r="G10" i="10"/>
  <c r="H10" i="10"/>
  <c r="I10" i="10"/>
  <c r="J10" i="10"/>
  <c r="K10" i="10"/>
  <c r="L10" i="10"/>
  <c r="M10" i="10"/>
  <c r="N10" i="10"/>
  <c r="O10" i="10"/>
  <c r="P10" i="10"/>
  <c r="Q10" i="10"/>
  <c r="R10" i="10"/>
  <c r="S10" i="10"/>
  <c r="T10" i="10"/>
  <c r="U10" i="10"/>
  <c r="V10" i="10"/>
  <c r="W10" i="10"/>
  <c r="X10" i="10"/>
  <c r="Y10" i="10"/>
  <c r="Z10" i="10"/>
  <c r="AA10" i="10"/>
  <c r="AB10" i="10"/>
  <c r="AC10" i="10"/>
  <c r="AD10" i="10"/>
  <c r="AE10" i="10"/>
  <c r="AF10" i="10"/>
  <c r="AG10" i="10"/>
  <c r="AH10" i="10"/>
  <c r="AI10" i="10"/>
  <c r="AJ10" i="10"/>
  <c r="AK10" i="10"/>
  <c r="AL10" i="10"/>
  <c r="AM10" i="10"/>
  <c r="AN10" i="10"/>
  <c r="AO10" i="10"/>
  <c r="AP10" i="10"/>
  <c r="AQ10" i="10"/>
  <c r="AR10" i="10"/>
  <c r="AS10" i="10"/>
  <c r="AT10" i="10"/>
  <c r="AU10" i="10"/>
  <c r="AV10" i="10"/>
  <c r="AW10" i="10"/>
  <c r="C9" i="10"/>
  <c r="D9" i="10"/>
  <c r="D11" i="10" s="1"/>
  <c r="E9" i="10"/>
  <c r="F9" i="10"/>
  <c r="G9" i="10"/>
  <c r="H9" i="10"/>
  <c r="I9" i="10"/>
  <c r="J9" i="10"/>
  <c r="K9" i="10"/>
  <c r="L9" i="10"/>
  <c r="M9" i="10"/>
  <c r="N9" i="10"/>
  <c r="O9" i="10"/>
  <c r="P9" i="10"/>
  <c r="Q9" i="10"/>
  <c r="R9" i="10"/>
  <c r="S9" i="10"/>
  <c r="T9" i="10"/>
  <c r="U9" i="10"/>
  <c r="V9" i="10"/>
  <c r="W9" i="10"/>
  <c r="X9" i="10"/>
  <c r="Y9" i="10"/>
  <c r="Z9" i="10"/>
  <c r="AA9" i="10"/>
  <c r="AB9" i="10"/>
  <c r="AC9" i="10"/>
  <c r="AD9" i="10"/>
  <c r="AE9" i="10"/>
  <c r="AF9" i="10"/>
  <c r="AG9" i="10"/>
  <c r="AH9" i="10"/>
  <c r="AI9" i="10"/>
  <c r="AJ9" i="10"/>
  <c r="AK9" i="10"/>
  <c r="AL9" i="10"/>
  <c r="AM9" i="10"/>
  <c r="AN9" i="10"/>
  <c r="AO9" i="10"/>
  <c r="AP9" i="10"/>
  <c r="AQ9" i="10"/>
  <c r="AR9" i="10"/>
  <c r="AS9" i="10"/>
  <c r="AT9" i="10"/>
  <c r="AU9" i="10"/>
  <c r="AV9" i="10"/>
  <c r="AW9" i="10"/>
  <c r="E22" i="12"/>
  <c r="M22" i="12"/>
  <c r="N22" i="12"/>
  <c r="U22" i="12"/>
  <c r="V22" i="12"/>
  <c r="Z22" i="12"/>
  <c r="B20" i="12"/>
  <c r="B19" i="12"/>
  <c r="B10" i="12"/>
  <c r="B9" i="12"/>
  <c r="E22" i="10"/>
  <c r="B20" i="10"/>
  <c r="B19" i="10"/>
  <c r="B10" i="10"/>
  <c r="AD11" i="10"/>
  <c r="B9" i="10"/>
  <c r="AB22" i="12" l="1"/>
  <c r="T22" i="12"/>
  <c r="L22" i="12"/>
  <c r="D22" i="12"/>
  <c r="Y22" i="12"/>
  <c r="I22" i="12"/>
  <c r="X22" i="12"/>
  <c r="P22" i="12"/>
  <c r="H22" i="12"/>
  <c r="Q22" i="12"/>
  <c r="AA22" i="12"/>
  <c r="S22" i="12"/>
  <c r="K22" i="12"/>
  <c r="C22" i="12"/>
  <c r="AD22" i="12"/>
  <c r="C22" i="10"/>
  <c r="AD22" i="10"/>
  <c r="D22" i="10"/>
  <c r="C11" i="10"/>
  <c r="B11" i="16" l="1"/>
  <c r="B22" i="16"/>
  <c r="B21" i="16"/>
  <c r="B11" i="19"/>
  <c r="B21" i="19"/>
  <c r="B11" i="18"/>
  <c r="B21" i="18"/>
  <c r="AQ22" i="12"/>
  <c r="AR22" i="12"/>
  <c r="AS22" i="12"/>
  <c r="AC22" i="12"/>
  <c r="AU22" i="12"/>
  <c r="AV22" i="12"/>
  <c r="AN22" i="12"/>
  <c r="AW22" i="12"/>
  <c r="AO22" i="12"/>
  <c r="AT22" i="12"/>
  <c r="B11" i="12"/>
  <c r="AP22" i="12"/>
  <c r="B21" i="12"/>
  <c r="O22" i="10"/>
  <c r="L22" i="10"/>
  <c r="AB22" i="10"/>
  <c r="M22" i="10"/>
  <c r="U11" i="10"/>
  <c r="U22" i="10"/>
  <c r="W22" i="10"/>
  <c r="T22" i="10"/>
  <c r="N11" i="10"/>
  <c r="V22" i="10"/>
  <c r="AT22" i="10"/>
  <c r="O11" i="10"/>
  <c r="X22" i="10"/>
  <c r="AV22" i="10"/>
  <c r="I11" i="10"/>
  <c r="Q22" i="10"/>
  <c r="Y22" i="10"/>
  <c r="AO22" i="10"/>
  <c r="AW22" i="10"/>
  <c r="I22" i="10"/>
  <c r="AM11" i="10"/>
  <c r="H22" i="10"/>
  <c r="AF22" i="10"/>
  <c r="J22" i="10"/>
  <c r="R22" i="10"/>
  <c r="Z11" i="10"/>
  <c r="AP22" i="10"/>
  <c r="B21" i="10"/>
  <c r="G22" i="10"/>
  <c r="AU22" i="10"/>
  <c r="P22" i="10"/>
  <c r="AN22" i="10"/>
  <c r="K22" i="10"/>
  <c r="S22" i="10"/>
  <c r="AA11" i="10"/>
  <c r="AA22" i="10"/>
  <c r="B11" i="10"/>
  <c r="B11" i="5"/>
  <c r="B21" i="5"/>
  <c r="B22" i="19"/>
  <c r="B22" i="18"/>
  <c r="AJ22" i="12"/>
  <c r="AK22" i="12"/>
  <c r="AI22" i="12"/>
  <c r="AE22" i="12"/>
  <c r="AG22" i="12"/>
  <c r="AH22" i="12"/>
  <c r="AF22" i="12"/>
  <c r="B22" i="12"/>
  <c r="AL22" i="12"/>
  <c r="AM22" i="12"/>
  <c r="AM22" i="10"/>
  <c r="AE22" i="10"/>
  <c r="AC11" i="10"/>
  <c r="AH22" i="10"/>
  <c r="AG11" i="10"/>
  <c r="AI22" i="10"/>
  <c r="AG22" i="10"/>
  <c r="AJ22" i="10"/>
  <c r="AK22" i="10"/>
  <c r="AL11" i="10"/>
  <c r="AR22" i="10"/>
  <c r="F22" i="10"/>
  <c r="E11" i="10"/>
  <c r="AS11" i="10"/>
  <c r="AS22" i="10"/>
  <c r="AQ22" i="10"/>
  <c r="P11" i="10"/>
  <c r="AB11" i="10"/>
  <c r="AN11" i="10"/>
  <c r="B22" i="10"/>
  <c r="N22" i="10"/>
  <c r="Z22" i="10"/>
  <c r="AL22" i="10"/>
  <c r="F11" i="10"/>
  <c r="R11" i="10"/>
  <c r="AP11" i="10"/>
  <c r="Q11" i="10"/>
  <c r="AO11" i="10"/>
  <c r="G11" i="10"/>
  <c r="S11" i="10"/>
  <c r="AE11" i="10"/>
  <c r="AQ11" i="10"/>
  <c r="AC22" i="10"/>
  <c r="H11" i="10"/>
  <c r="T11" i="10"/>
  <c r="AF11" i="10"/>
  <c r="AR11" i="10"/>
  <c r="J11" i="10"/>
  <c r="V11" i="10"/>
  <c r="AH11" i="10"/>
  <c r="AT11" i="10"/>
  <c r="K11" i="10"/>
  <c r="W11" i="10"/>
  <c r="AI11" i="10"/>
  <c r="AU11" i="10"/>
  <c r="L11" i="10"/>
  <c r="X11" i="10"/>
  <c r="AJ11" i="10"/>
  <c r="AV11" i="10"/>
  <c r="M11" i="10"/>
  <c r="Y11" i="10"/>
  <c r="AK11" i="10"/>
  <c r="AW11" i="10"/>
  <c r="B22" i="5"/>
</calcChain>
</file>

<file path=xl/sharedStrings.xml><?xml version="1.0" encoding="utf-8"?>
<sst xmlns="http://schemas.openxmlformats.org/spreadsheetml/2006/main" count="2093" uniqueCount="34">
  <si>
    <t>Morning</t>
  </si>
  <si>
    <t>Night</t>
  </si>
  <si>
    <t>Sub-total</t>
  </si>
  <si>
    <t>#</t>
  </si>
  <si>
    <t>Cover Breaks</t>
  </si>
  <si>
    <t>DLSC</t>
  </si>
  <si>
    <t>Checker</t>
  </si>
  <si>
    <t>Officer A</t>
  </si>
  <si>
    <t>Officer B</t>
  </si>
  <si>
    <t>Officer C</t>
  </si>
  <si>
    <t>Officer D</t>
  </si>
  <si>
    <t>Officer E</t>
  </si>
  <si>
    <t>Officer F</t>
  </si>
  <si>
    <t xml:space="preserve"> </t>
  </si>
  <si>
    <t>Cargo</t>
  </si>
  <si>
    <t>Lorry/Car-go</t>
  </si>
  <si>
    <t>Selection List</t>
  </si>
  <si>
    <t>Big</t>
  </si>
  <si>
    <t>Small</t>
  </si>
  <si>
    <t>Grand-total</t>
  </si>
  <si>
    <t>AC</t>
  </si>
  <si>
    <t>DC</t>
  </si>
  <si>
    <t>AL1</t>
  </si>
  <si>
    <t>AL2</t>
  </si>
  <si>
    <t>AL3</t>
  </si>
  <si>
    <t>AL4</t>
  </si>
  <si>
    <t>AL5</t>
  </si>
  <si>
    <t>AL6</t>
  </si>
  <si>
    <t>Acar1</t>
  </si>
  <si>
    <t>Acar2</t>
  </si>
  <si>
    <t>Acar3</t>
  </si>
  <si>
    <t>Acar4</t>
  </si>
  <si>
    <t>Acar5</t>
  </si>
  <si>
    <t>Acar6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</si>
</sst>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-14809]hh:mm;@"/>
  </numFmts>
  <fonts count="5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b/>
      <sz val="11"/>
      <color rgb="FF0070C0"/>
      <name val="Aptos Narrow"/>
      <family val="2"/>
      <scheme val="minor"/>
    </font>
    <font>
      <i/>
      <sz val="11"/>
      <color rgb="FF0070C0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25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47">
    <xf numFmtId="0" fontId="0" fillId="0" borderId="0" xfId="0"/>
    <xf numFmtId="164" fontId="1" fillId="0" borderId="4" xfId="0" applyNumberFormat="1" applyFont="1" applyBorder="1" applyAlignment="1">
      <alignment horizontal="center" vertical="center"/>
    </xf>
    <xf numFmtId="164" fontId="1" fillId="0" borderId="2" xfId="0" applyNumberFormat="1" applyFont="1" applyBorder="1" applyAlignment="1">
      <alignment horizontal="center" vertical="center"/>
    </xf>
    <xf numFmtId="164" fontId="1" fillId="0" borderId="3" xfId="0" applyNumberFormat="1" applyFont="1" applyBorder="1" applyAlignment="1">
      <alignment horizontal="center" vertical="center"/>
    </xf>
    <xf numFmtId="20" fontId="1" fillId="0" borderId="5" xfId="0" applyNumberFormat="1" applyFont="1" applyBorder="1" applyAlignment="1">
      <alignment horizontal="center" vertical="center"/>
    </xf>
    <xf numFmtId="20" fontId="1" fillId="0" borderId="6" xfId="0" applyNumberFormat="1" applyFont="1" applyBorder="1" applyAlignment="1">
      <alignment horizontal="center" vertical="center"/>
    </xf>
    <xf numFmtId="20" fontId="1" fillId="0" borderId="7" xfId="0" applyNumberFormat="1" applyFont="1" applyBorder="1" applyAlignment="1">
      <alignment horizontal="center" vertical="center"/>
    </xf>
    <xf numFmtId="0" fontId="0" fillId="0" borderId="4" xfId="0" applyBorder="1"/>
    <xf numFmtId="0" fontId="0" fillId="0" borderId="11" xfId="0" applyBorder="1"/>
    <xf numFmtId="0" fontId="0" fillId="0" borderId="5" xfId="0" applyBorder="1"/>
    <xf numFmtId="0" fontId="0" fillId="0" borderId="4" xfId="0" applyBorder="1" applyAlignment="1">
      <alignment horizontal="center"/>
    </xf>
    <xf numFmtId="0" fontId="0" fillId="0" borderId="2" xfId="0" applyBorder="1" applyAlignment="1">
      <alignment horizontal="center"/>
    </xf>
    <xf numFmtId="0" fontId="0" fillId="0" borderId="3" xfId="0" applyBorder="1" applyAlignment="1">
      <alignment horizontal="center"/>
    </xf>
    <xf numFmtId="0" fontId="0" fillId="0" borderId="11" xfId="0" applyBorder="1" applyAlignment="1">
      <alignment horizontal="center"/>
    </xf>
    <xf numFmtId="0" fontId="0" fillId="0" borderId="12" xfId="0" applyBorder="1" applyAlignment="1">
      <alignment horizontal="center"/>
    </xf>
    <xf numFmtId="0" fontId="0" fillId="0" borderId="5" xfId="0" applyBorder="1" applyAlignment="1">
      <alignment horizontal="center"/>
    </xf>
    <xf numFmtId="0" fontId="0" fillId="0" borderId="6" xfId="0" applyBorder="1" applyAlignment="1">
      <alignment horizontal="center"/>
    </xf>
    <xf numFmtId="0" fontId="0" fillId="0" borderId="7" xfId="0" applyBorder="1" applyAlignment="1">
      <alignment horizontal="center"/>
    </xf>
    <xf numFmtId="0" fontId="1" fillId="0" borderId="0" xfId="0" applyFont="1"/>
    <xf numFmtId="0" fontId="3" fillId="0" borderId="9" xfId="0" applyFont="1" applyBorder="1" applyAlignment="1">
      <alignment horizontal="center"/>
    </xf>
    <xf numFmtId="0" fontId="3" fillId="0" borderId="10" xfId="0" applyFont="1" applyBorder="1" applyAlignment="1">
      <alignment horizontal="center"/>
    </xf>
    <xf numFmtId="0" fontId="3" fillId="0" borderId="8" xfId="0" applyFont="1" applyBorder="1" applyAlignment="1">
      <alignment horizontal="center"/>
    </xf>
    <xf numFmtId="0" fontId="4" fillId="0" borderId="9" xfId="0" applyFont="1" applyBorder="1" applyAlignment="1">
      <alignment horizontal="center"/>
    </xf>
    <xf numFmtId="0" fontId="4" fillId="0" borderId="10" xfId="0" applyFont="1" applyBorder="1" applyAlignment="1">
      <alignment horizontal="center"/>
    </xf>
    <xf numFmtId="0" fontId="4" fillId="0" borderId="6" xfId="0" applyFont="1" applyBorder="1" applyAlignment="1">
      <alignment horizontal="center"/>
    </xf>
    <xf numFmtId="0" fontId="4" fillId="0" borderId="7" xfId="0" applyFont="1" applyBorder="1" applyAlignment="1">
      <alignment horizontal="center"/>
    </xf>
    <xf numFmtId="0" fontId="0" fillId="0" borderId="13" xfId="0" applyBorder="1" applyAlignment="1">
      <alignment horizontal="center"/>
    </xf>
    <xf numFmtId="0" fontId="0" fillId="0" borderId="14" xfId="0" applyBorder="1" applyAlignment="1">
      <alignment horizontal="center"/>
    </xf>
    <xf numFmtId="0" fontId="0" fillId="0" borderId="15" xfId="0" applyBorder="1" applyAlignment="1">
      <alignment horizontal="center"/>
    </xf>
    <xf numFmtId="0" fontId="0" fillId="0" borderId="16" xfId="0" applyBorder="1" applyAlignment="1">
      <alignment horizontal="center"/>
    </xf>
    <xf numFmtId="0" fontId="0" fillId="0" borderId="17" xfId="0" applyBorder="1" applyAlignment="1">
      <alignment horizontal="center"/>
    </xf>
    <xf numFmtId="0" fontId="0" fillId="0" borderId="18" xfId="0" applyBorder="1" applyAlignment="1">
      <alignment horizontal="center"/>
    </xf>
    <xf numFmtId="0" fontId="0" fillId="0" borderId="19" xfId="0" applyBorder="1" applyAlignment="1">
      <alignment horizontal="center"/>
    </xf>
    <xf numFmtId="0" fontId="0" fillId="0" borderId="20" xfId="0" applyBorder="1" applyAlignment="1">
      <alignment horizontal="center"/>
    </xf>
    <xf numFmtId="0" fontId="0" fillId="0" borderId="21" xfId="0" applyBorder="1" applyAlignment="1">
      <alignment horizontal="center"/>
    </xf>
    <xf numFmtId="0" fontId="1" fillId="0" borderId="8" xfId="0" applyFont="1" applyBorder="1" applyAlignment="1">
      <alignment horizontal="left"/>
    </xf>
    <xf numFmtId="0" fontId="1" fillId="0" borderId="4" xfId="0" applyFont="1" applyBorder="1" applyAlignment="1">
      <alignment horizontal="left"/>
    </xf>
    <xf numFmtId="0" fontId="1" fillId="0" borderId="5" xfId="0" applyFont="1" applyBorder="1" applyAlignment="1">
      <alignment horizontal="left"/>
    </xf>
    <xf numFmtId="0" fontId="1" fillId="0" borderId="1" xfId="0" applyFont="1" applyBorder="1" applyAlignment="1">
      <alignment horizontal="left"/>
    </xf>
    <xf numFmtId="0" fontId="3" fillId="0" borderId="1" xfId="0" applyFont="1" applyBorder="1" applyAlignment="1">
      <alignment horizontal="center"/>
    </xf>
    <xf numFmtId="0" fontId="0" fillId="0" borderId="0" xfId="0" applyAlignment="1">
      <alignment horizontal="center"/>
    </xf>
    <xf numFmtId="0" fontId="0" fillId="0" borderId="22" xfId="0" applyBorder="1" applyAlignment="1">
      <alignment horizontal="center"/>
    </xf>
    <xf numFmtId="0" fontId="0" fillId="0" borderId="23" xfId="0" applyBorder="1" applyAlignment="1">
      <alignment horizontal="center"/>
    </xf>
    <xf numFmtId="0" fontId="0" fillId="0" borderId="24" xfId="0" applyBorder="1" applyAlignment="1">
      <alignment horizontal="center"/>
    </xf>
    <xf numFmtId="0" fontId="1" fillId="0" borderId="4" xfId="0" applyFont="1" applyBorder="1" applyAlignment="1">
      <alignment horizontal="left" vertical="center"/>
    </xf>
    <xf numFmtId="0" fontId="1" fillId="0" borderId="2" xfId="0" applyFont="1" applyBorder="1" applyAlignment="1">
      <alignment horizontal="left" vertical="center"/>
    </xf>
    <xf numFmtId="0" fontId="1" fillId="0" borderId="3" xfId="0" applyFont="1" applyBorder="1" applyAlignment="1">
      <alignment horizontal="left" vertical="center"/>
    </xf>
  </cellXfs>
  <cellStyles count="1">
    <cellStyle name="Normal" xfId="0" builtinId="0"/>
  </cellStyles>
  <dxfs count="74"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6" tint="0.79998168889431442"/>
        </patternFill>
      </fill>
    </dxf>
    <dxf>
      <fill>
        <patternFill>
          <bgColor theme="6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6" tint="0.79998168889431442"/>
        </patternFill>
      </fill>
    </dxf>
    <dxf>
      <fill>
        <patternFill>
          <bgColor theme="6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6" tint="0.79998168889431442"/>
        </patternFill>
      </fill>
    </dxf>
    <dxf>
      <fill>
        <patternFill>
          <bgColor theme="6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6" tint="0.79998168889431442"/>
        </patternFill>
      </fill>
    </dxf>
    <dxf>
      <fill>
        <patternFill>
          <bgColor theme="6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6" tint="0.79998168889431442"/>
        </patternFill>
      </fill>
    </dxf>
    <dxf>
      <fill>
        <patternFill>
          <bgColor theme="6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6" tint="0.79998168889431442"/>
        </patternFill>
      </fill>
    </dxf>
    <dxf>
      <fill>
        <patternFill>
          <bgColor theme="6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6" tint="0.7999816888943144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30EA23-4F80-4685-8AE0-1BECFA8C6EEC}">
  <dimension ref="A1:F16"/>
  <sheetViews>
    <sheetView workbookViewId="0">
      <selection activeCell="J27" sqref="J27"/>
    </sheetView>
  </sheetViews>
  <sheetFormatPr defaultRowHeight="15" x14ac:dyDescent="0.25"/>
  <cols>
    <col min="6" max="6" width="12.28515625" bestFit="1" customWidth="1"/>
  </cols>
  <sheetData>
    <row r="1" spans="1:6" x14ac:dyDescent="0.25">
      <c r="A1" s="18" t="s">
        <v>14</v>
      </c>
      <c r="F1" s="18" t="s">
        <v>16</v>
      </c>
    </row>
    <row r="2" spans="1:6" x14ac:dyDescent="0.25">
      <c r="A2" t="s">
        <v>7</v>
      </c>
      <c r="F2" t="s">
        <v>22</v>
      </c>
    </row>
    <row r="3" spans="1:6" x14ac:dyDescent="0.25">
      <c r="A3" t="s">
        <v>8</v>
      </c>
      <c r="F3" t="s">
        <v>23</v>
      </c>
    </row>
    <row r="4" spans="1:6" x14ac:dyDescent="0.25">
      <c r="A4" t="s">
        <v>9</v>
      </c>
      <c r="F4" t="s">
        <v>24</v>
      </c>
    </row>
    <row r="5" spans="1:6" x14ac:dyDescent="0.25">
      <c r="A5" t="s">
        <v>10</v>
      </c>
      <c r="F5" t="s">
        <v>25</v>
      </c>
    </row>
    <row r="6" spans="1:6" x14ac:dyDescent="0.25">
      <c r="A6" t="s">
        <v>11</v>
      </c>
      <c r="F6" t="s">
        <v>26</v>
      </c>
    </row>
    <row r="7" spans="1:6" x14ac:dyDescent="0.25">
      <c r="A7" t="s">
        <v>12</v>
      </c>
      <c r="F7" t="s">
        <v>27</v>
      </c>
    </row>
    <row r="8" spans="1:6" x14ac:dyDescent="0.25">
      <c r="F8" t="s">
        <v>28</v>
      </c>
    </row>
    <row r="9" spans="1:6" x14ac:dyDescent="0.25">
      <c r="A9" t="s">
        <v>6</v>
      </c>
      <c r="F9" t="s">
        <v>29</v>
      </c>
    </row>
    <row r="10" spans="1:6" x14ac:dyDescent="0.25">
      <c r="A10" t="s">
        <v>5</v>
      </c>
      <c r="F10" t="s">
        <v>30</v>
      </c>
    </row>
    <row r="11" spans="1:6" x14ac:dyDescent="0.25">
      <c r="F11" t="s">
        <v>31</v>
      </c>
    </row>
    <row r="12" spans="1:6" x14ac:dyDescent="0.25">
      <c r="F12" t="s">
        <v>32</v>
      </c>
    </row>
    <row r="13" spans="1:6" x14ac:dyDescent="0.25">
      <c r="F13" t="s">
        <v>33</v>
      </c>
    </row>
    <row r="14" spans="1:6" x14ac:dyDescent="0.25">
      <c r="F14" t="s">
        <v>3</v>
      </c>
    </row>
    <row r="15" spans="1:6" x14ac:dyDescent="0.25">
      <c r="F15" t="s">
        <v>20</v>
      </c>
    </row>
    <row r="16" spans="1:6" x14ac:dyDescent="0.25">
      <c r="F16" t="s">
        <v>21</v>
      </c>
    </row>
  </sheetData>
  <phoneticPr fontId="2" type="noConversion"/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788FB3-9092-4A30-8CAE-2F0C7E2A7B78}">
  <dimension ref="A1:AW22"/>
  <sheetViews>
    <sheetView zoomScale="85" zoomScaleNormal="85" workbookViewId="0">
      <pane xSplit="1" ySplit="2" topLeftCell="B3" activePane="bottomRight" state="frozen"/>
      <selection pane="topRight" activeCell="C1" sqref="C1"/>
      <selection pane="bottomLeft" activeCell="A6" sqref="A6"/>
      <selection pane="bottomRight" activeCell="M37" sqref="M37"/>
    </sheetView>
  </sheetViews>
  <sheetFormatPr defaultRowHeight="15" x14ac:dyDescent="0.25"/>
  <cols>
    <col min="1" max="1" width="15.42578125" bestFit="1" customWidth="1"/>
    <col min="2" max="2" width="8.140625" bestFit="1" customWidth="1"/>
    <col min="3" max="3" width="7.7109375" bestFit="1" customWidth="1"/>
    <col min="4" max="6" width="8.140625" bestFit="1" customWidth="1"/>
    <col min="7" max="7" width="7.7109375" bestFit="1" customWidth="1"/>
    <col min="8" max="10" width="8.140625" bestFit="1" customWidth="1"/>
    <col min="11" max="11" width="7.7109375" bestFit="1" customWidth="1"/>
    <col min="12" max="13" width="8.140625" bestFit="1" customWidth="1"/>
    <col min="14" max="14" width="7.7109375" bestFit="1" customWidth="1"/>
    <col min="15" max="15" width="7.28515625" bestFit="1" customWidth="1"/>
    <col min="16" max="17" width="7.7109375" bestFit="1" customWidth="1"/>
    <col min="18" max="18" width="8.140625" bestFit="1" customWidth="1"/>
    <col min="19" max="19" width="7.7109375" bestFit="1" customWidth="1"/>
    <col min="20" max="22" width="8.140625" bestFit="1" customWidth="1"/>
    <col min="23" max="23" width="7.7109375" bestFit="1" customWidth="1"/>
    <col min="24" max="26" width="8.140625" bestFit="1" customWidth="1"/>
    <col min="27" max="27" width="7.7109375" bestFit="1" customWidth="1"/>
    <col min="28" max="30" width="8.140625" bestFit="1" customWidth="1"/>
    <col min="31" max="31" width="7.7109375" bestFit="1" customWidth="1"/>
    <col min="32" max="34" width="8.140625" bestFit="1" customWidth="1"/>
    <col min="35" max="35" width="7.7109375" bestFit="1" customWidth="1"/>
    <col min="36" max="38" width="8.140625" bestFit="1" customWidth="1"/>
    <col min="39" max="39" width="7.7109375" bestFit="1" customWidth="1"/>
    <col min="40" max="42" width="8.140625" bestFit="1" customWidth="1"/>
    <col min="43" max="43" width="7.7109375" bestFit="1" customWidth="1"/>
    <col min="44" max="46" width="8.140625" bestFit="1" customWidth="1"/>
    <col min="47" max="47" width="7.7109375" bestFit="1" customWidth="1"/>
    <col min="48" max="49" width="8.140625" bestFit="1" customWidth="1"/>
  </cols>
  <sheetData>
    <row r="1" spans="1:49" ht="15.75" thickBot="1" x14ac:dyDescent="0.3">
      <c r="A1" s="36" t="s">
        <v>0</v>
      </c>
      <c r="B1" s="1">
        <v>0.41666666666666669</v>
      </c>
      <c r="C1" s="2">
        <v>0.42708333333333331</v>
      </c>
      <c r="D1" s="2">
        <v>0.4375</v>
      </c>
      <c r="E1" s="2">
        <v>0.44791666666666702</v>
      </c>
      <c r="F1" s="1">
        <v>0.45833333333333298</v>
      </c>
      <c r="G1" s="2">
        <v>0.46875</v>
      </c>
      <c r="H1" s="2">
        <v>0.47916666666666602</v>
      </c>
      <c r="I1" s="3">
        <v>0.48958333333333298</v>
      </c>
      <c r="J1" s="1">
        <v>0.5</v>
      </c>
      <c r="K1" s="2">
        <v>0.51041666666666596</v>
      </c>
      <c r="L1" s="2">
        <v>0.52083333333333304</v>
      </c>
      <c r="M1" s="2">
        <v>0.53125</v>
      </c>
      <c r="N1" s="1">
        <v>0.54166666666666696</v>
      </c>
      <c r="O1" s="2">
        <v>0.55208333333333304</v>
      </c>
      <c r="P1" s="2">
        <v>0.5625</v>
      </c>
      <c r="Q1" s="2">
        <v>0.57291666666666596</v>
      </c>
      <c r="R1" s="1">
        <v>0.58333333333333304</v>
      </c>
      <c r="S1" s="2">
        <v>0.59375</v>
      </c>
      <c r="T1" s="2">
        <v>0.60416666666666596</v>
      </c>
      <c r="U1" s="2">
        <v>0.61458333333333304</v>
      </c>
      <c r="V1" s="1">
        <v>0.625</v>
      </c>
      <c r="W1" s="2">
        <v>0.63541666666666596</v>
      </c>
      <c r="X1" s="2">
        <v>0.64583333333333304</v>
      </c>
      <c r="Y1" s="2">
        <v>0.656249999999999</v>
      </c>
      <c r="Z1" s="1">
        <v>0.66666666666666596</v>
      </c>
      <c r="AA1" s="2">
        <v>0.67708333333333304</v>
      </c>
      <c r="AB1" s="2">
        <v>0.687499999999999</v>
      </c>
      <c r="AC1" s="2">
        <v>0.69791666666666596</v>
      </c>
      <c r="AD1" s="1">
        <v>0.70833333333333304</v>
      </c>
      <c r="AE1" s="2">
        <v>0.718749999999999</v>
      </c>
      <c r="AF1" s="2">
        <v>0.72916666666666596</v>
      </c>
      <c r="AG1" s="2">
        <v>0.73958333333333304</v>
      </c>
      <c r="AH1" s="1">
        <v>0.749999999999999</v>
      </c>
      <c r="AI1" s="2">
        <v>0.76041666666666596</v>
      </c>
      <c r="AJ1" s="2">
        <v>0.77083333333333204</v>
      </c>
      <c r="AK1" s="2">
        <v>0.781249999999999</v>
      </c>
      <c r="AL1" s="1">
        <v>0.79166666666666596</v>
      </c>
      <c r="AM1" s="2">
        <v>0.80208333333333204</v>
      </c>
      <c r="AN1" s="2">
        <v>0.812499999999999</v>
      </c>
      <c r="AO1" s="2">
        <v>0.82291666666666596</v>
      </c>
      <c r="AP1" s="1">
        <v>0.83333333333333204</v>
      </c>
      <c r="AQ1" s="2">
        <v>0.843749999999999</v>
      </c>
      <c r="AR1" s="2">
        <v>0.85416666666666496</v>
      </c>
      <c r="AS1" s="2">
        <v>0.86458333333333204</v>
      </c>
      <c r="AT1" s="1">
        <v>0.874999999999999</v>
      </c>
      <c r="AU1" s="2">
        <v>0.88541666666666496</v>
      </c>
      <c r="AV1" s="2">
        <v>0.89583333333333204</v>
      </c>
      <c r="AW1" s="3">
        <v>0.906249999999999</v>
      </c>
    </row>
    <row r="2" spans="1:49" ht="15.75" thickBot="1" x14ac:dyDescent="0.3">
      <c r="A2" s="44" t="s">
        <v>15</v>
      </c>
      <c r="B2" s="45"/>
      <c r="C2" s="45"/>
      <c r="D2" s="45"/>
      <c r="E2" s="45"/>
      <c r="F2" s="45"/>
      <c r="G2" s="45"/>
      <c r="H2" s="45"/>
      <c r="I2" s="45"/>
      <c r="J2" s="45"/>
      <c r="K2" s="45"/>
      <c r="L2" s="45"/>
      <c r="M2" s="45"/>
      <c r="N2" s="45"/>
      <c r="O2" s="45"/>
      <c r="P2" s="45"/>
      <c r="Q2" s="45"/>
      <c r="R2" s="45"/>
      <c r="S2" s="45"/>
      <c r="T2" s="45"/>
      <c r="U2" s="45"/>
      <c r="V2" s="45"/>
      <c r="W2" s="45"/>
      <c r="X2" s="45"/>
      <c r="Y2" s="45"/>
      <c r="Z2" s="45"/>
      <c r="AA2" s="45"/>
      <c r="AB2" s="45"/>
      <c r="AC2" s="45"/>
      <c r="AD2" s="45"/>
      <c r="AE2" s="45"/>
      <c r="AF2" s="45"/>
      <c r="AG2" s="45"/>
      <c r="AH2" s="45"/>
      <c r="AI2" s="45"/>
      <c r="AJ2" s="45"/>
      <c r="AK2" s="45"/>
      <c r="AL2" s="45"/>
      <c r="AM2" s="45"/>
      <c r="AN2" s="45"/>
      <c r="AO2" s="45"/>
      <c r="AP2" s="45"/>
      <c r="AQ2" s="45"/>
      <c r="AR2" s="45"/>
      <c r="AS2" s="45"/>
      <c r="AT2" s="45"/>
      <c r="AU2" s="45"/>
      <c r="AV2" s="45"/>
      <c r="AW2" s="46"/>
    </row>
    <row r="3" spans="1:49" x14ac:dyDescent="0.25">
      <c r="A3" s="7" t="s">
        <v>22</v>
      </c>
      <c r="B3" s="28" t="s">
        <v>22</v>
      </c>
      <c r="C3" s="28" t="s">
        <v>22</v>
      </c>
      <c r="D3" s="28" t="s">
        <v>22</v>
      </c>
      <c r="E3" s="28" t="s">
        <v>22</v>
      </c>
      <c r="F3" s="28" t="s">
        <v>22</v>
      </c>
      <c r="G3" s="28" t="s">
        <v>22</v>
      </c>
      <c r="H3" s="28" t="s">
        <v>3</v>
      </c>
      <c r="I3" s="28" t="s">
        <v>3</v>
      </c>
      <c r="J3" s="28" t="s">
        <v>22</v>
      </c>
      <c r="K3" s="28" t="s">
        <v>22</v>
      </c>
      <c r="L3" s="28" t="s">
        <v>22</v>
      </c>
      <c r="M3" s="28" t="s">
        <v>22</v>
      </c>
      <c r="N3" s="28" t="s">
        <v>22</v>
      </c>
      <c r="O3" s="28" t="s">
        <v>22</v>
      </c>
      <c r="P3" s="28" t="s">
        <v>22</v>
      </c>
      <c r="Q3" s="28" t="s">
        <v>22</v>
      </c>
      <c r="R3" s="28" t="s">
        <v>3</v>
      </c>
      <c r="S3" s="28" t="s">
        <v>3</v>
      </c>
      <c r="T3" s="28" t="s">
        <v>3</v>
      </c>
      <c r="U3" s="28" t="s">
        <v>22</v>
      </c>
      <c r="V3" s="28" t="s">
        <v>22</v>
      </c>
      <c r="W3" s="28" t="s">
        <v>22</v>
      </c>
      <c r="X3" s="28" t="s">
        <v>22</v>
      </c>
      <c r="Y3" s="28" t="s">
        <v>22</v>
      </c>
      <c r="Z3" s="28" t="s">
        <v>22</v>
      </c>
      <c r="AA3" s="28" t="s">
        <v>22</v>
      </c>
      <c r="AB3" s="28" t="s">
        <v>22</v>
      </c>
      <c r="AC3" s="28" t="s">
        <v>22</v>
      </c>
      <c r="AD3" s="28" t="s">
        <v>3</v>
      </c>
      <c r="AE3" s="28" t="s">
        <v>3</v>
      </c>
      <c r="AF3" s="28" t="s">
        <v>3</v>
      </c>
      <c r="AG3" s="28" t="s">
        <v>22</v>
      </c>
      <c r="AH3" s="28" t="s">
        <v>22</v>
      </c>
      <c r="AI3" s="28" t="s">
        <v>22</v>
      </c>
      <c r="AJ3" s="28" t="s">
        <v>22</v>
      </c>
      <c r="AK3" s="28" t="s">
        <v>22</v>
      </c>
      <c r="AL3" s="28" t="s">
        <v>22</v>
      </c>
      <c r="AM3" s="28" t="s">
        <v>22</v>
      </c>
      <c r="AN3" s="28" t="s">
        <v>22</v>
      </c>
      <c r="AO3" s="28" t="s">
        <v>22</v>
      </c>
      <c r="AP3" s="28" t="s">
        <v>22</v>
      </c>
      <c r="AQ3" s="28" t="s">
        <v>3</v>
      </c>
      <c r="AR3" s="28" t="s">
        <v>22</v>
      </c>
      <c r="AS3" s="28" t="s">
        <v>22</v>
      </c>
      <c r="AT3" s="28" t="s">
        <v>22</v>
      </c>
      <c r="AU3" s="28" t="s">
        <v>22</v>
      </c>
      <c r="AV3" s="28" t="s">
        <v>22</v>
      </c>
      <c r="AW3" s="29" t="s">
        <v>22</v>
      </c>
    </row>
    <row r="4" spans="1:49" x14ac:dyDescent="0.25">
      <c r="A4" s="8" t="s">
        <v>23</v>
      </c>
      <c r="B4" s="30" t="s">
        <v>23</v>
      </c>
      <c r="C4" s="26" t="s">
        <v>23</v>
      </c>
      <c r="D4" s="26" t="s">
        <v>23</v>
      </c>
      <c r="E4" s="26" t="s">
        <v>23</v>
      </c>
      <c r="F4" s="26" t="s">
        <v>23</v>
      </c>
      <c r="G4" s="26" t="s">
        <v>23</v>
      </c>
      <c r="H4" s="26" t="s">
        <v>3</v>
      </c>
      <c r="I4" s="26" t="s">
        <v>3</v>
      </c>
      <c r="J4" s="26" t="s">
        <v>23</v>
      </c>
      <c r="K4" s="26" t="s">
        <v>23</v>
      </c>
      <c r="L4" s="26" t="s">
        <v>23</v>
      </c>
      <c r="M4" s="26" t="s">
        <v>23</v>
      </c>
      <c r="N4" s="26" t="s">
        <v>23</v>
      </c>
      <c r="O4" s="26" t="s">
        <v>23</v>
      </c>
      <c r="P4" s="26" t="s">
        <v>23</v>
      </c>
      <c r="Q4" s="26" t="s">
        <v>23</v>
      </c>
      <c r="R4" s="26" t="s">
        <v>3</v>
      </c>
      <c r="S4" s="26" t="s">
        <v>3</v>
      </c>
      <c r="T4" s="26" t="s">
        <v>3</v>
      </c>
      <c r="U4" s="26" t="s">
        <v>23</v>
      </c>
      <c r="V4" s="26" t="s">
        <v>23</v>
      </c>
      <c r="W4" s="26" t="s">
        <v>23</v>
      </c>
      <c r="X4" s="26" t="s">
        <v>23</v>
      </c>
      <c r="Y4" s="26" t="s">
        <v>23</v>
      </c>
      <c r="Z4" s="26" t="s">
        <v>23</v>
      </c>
      <c r="AA4" s="26" t="s">
        <v>23</v>
      </c>
      <c r="AB4" s="26" t="s">
        <v>23</v>
      </c>
      <c r="AC4" s="26" t="s">
        <v>23</v>
      </c>
      <c r="AD4" s="26" t="s">
        <v>3</v>
      </c>
      <c r="AE4" s="26" t="s">
        <v>3</v>
      </c>
      <c r="AF4" s="26" t="s">
        <v>3</v>
      </c>
      <c r="AG4" s="26" t="s">
        <v>23</v>
      </c>
      <c r="AH4" s="26" t="s">
        <v>23</v>
      </c>
      <c r="AI4" s="26" t="s">
        <v>23</v>
      </c>
      <c r="AJ4" s="26" t="s">
        <v>23</v>
      </c>
      <c r="AK4" s="26" t="s">
        <v>23</v>
      </c>
      <c r="AL4" s="26" t="s">
        <v>23</v>
      </c>
      <c r="AM4" s="26" t="s">
        <v>23</v>
      </c>
      <c r="AN4" s="26" t="s">
        <v>23</v>
      </c>
      <c r="AO4" s="26" t="s">
        <v>23</v>
      </c>
      <c r="AP4" s="26" t="s">
        <v>23</v>
      </c>
      <c r="AQ4" s="26" t="s">
        <v>3</v>
      </c>
      <c r="AR4" s="26" t="s">
        <v>23</v>
      </c>
      <c r="AS4" s="26" t="s">
        <v>23</v>
      </c>
      <c r="AT4" s="26" t="s">
        <v>23</v>
      </c>
      <c r="AU4" s="26" t="s">
        <v>23</v>
      </c>
      <c r="AV4" s="26" t="s">
        <v>23</v>
      </c>
      <c r="AW4" s="31" t="s">
        <v>23</v>
      </c>
    </row>
    <row r="5" spans="1:49" x14ac:dyDescent="0.25">
      <c r="A5" s="8" t="s">
        <v>24</v>
      </c>
      <c r="B5" s="30" t="s">
        <v>24</v>
      </c>
      <c r="C5" s="26" t="s">
        <v>24</v>
      </c>
      <c r="D5" s="26" t="s">
        <v>24</v>
      </c>
      <c r="E5" s="26" t="s">
        <v>24</v>
      </c>
      <c r="F5" s="26" t="s">
        <v>24</v>
      </c>
      <c r="G5" s="26" t="s">
        <v>24</v>
      </c>
      <c r="H5" s="26" t="s">
        <v>24</v>
      </c>
      <c r="I5" s="26" t="s">
        <v>24</v>
      </c>
      <c r="J5" s="26" t="s">
        <v>3</v>
      </c>
      <c r="K5" s="26" t="s">
        <v>3</v>
      </c>
      <c r="L5" s="26" t="s">
        <v>24</v>
      </c>
      <c r="M5" s="26" t="s">
        <v>24</v>
      </c>
      <c r="N5" s="26" t="s">
        <v>24</v>
      </c>
      <c r="O5" s="26" t="s">
        <v>24</v>
      </c>
      <c r="P5" s="26" t="s">
        <v>24</v>
      </c>
      <c r="Q5" s="26" t="s">
        <v>24</v>
      </c>
      <c r="R5" s="26" t="s">
        <v>24</v>
      </c>
      <c r="S5" s="26" t="s">
        <v>24</v>
      </c>
      <c r="T5" s="26" t="s">
        <v>24</v>
      </c>
      <c r="U5" s="26" t="s">
        <v>3</v>
      </c>
      <c r="V5" s="26" t="s">
        <v>3</v>
      </c>
      <c r="W5" s="26" t="s">
        <v>3</v>
      </c>
      <c r="X5" s="26" t="s">
        <v>24</v>
      </c>
      <c r="Y5" s="26" t="s">
        <v>24</v>
      </c>
      <c r="Z5" s="26" t="s">
        <v>24</v>
      </c>
      <c r="AA5" s="26" t="s">
        <v>24</v>
      </c>
      <c r="AB5" s="26" t="s">
        <v>24</v>
      </c>
      <c r="AC5" s="26" t="s">
        <v>24</v>
      </c>
      <c r="AD5" s="26" t="s">
        <v>24</v>
      </c>
      <c r="AE5" s="26" t="s">
        <v>24</v>
      </c>
      <c r="AF5" s="26" t="s">
        <v>24</v>
      </c>
      <c r="AG5" s="26" t="s">
        <v>3</v>
      </c>
      <c r="AH5" s="26" t="s">
        <v>3</v>
      </c>
      <c r="AI5" s="26" t="s">
        <v>3</v>
      </c>
      <c r="AJ5" s="26" t="s">
        <v>24</v>
      </c>
      <c r="AK5" s="26" t="s">
        <v>24</v>
      </c>
      <c r="AL5" s="26" t="s">
        <v>24</v>
      </c>
      <c r="AM5" s="26" t="s">
        <v>24</v>
      </c>
      <c r="AN5" s="26" t="s">
        <v>24</v>
      </c>
      <c r="AO5" s="26" t="s">
        <v>24</v>
      </c>
      <c r="AP5" s="26" t="s">
        <v>24</v>
      </c>
      <c r="AQ5" s="26" t="s">
        <v>24</v>
      </c>
      <c r="AR5" s="26" t="s">
        <v>3</v>
      </c>
      <c r="AS5" s="26" t="s">
        <v>24</v>
      </c>
      <c r="AT5" s="26" t="s">
        <v>24</v>
      </c>
      <c r="AU5" s="26" t="s">
        <v>24</v>
      </c>
      <c r="AV5" s="26" t="s">
        <v>24</v>
      </c>
      <c r="AW5" s="31" t="s">
        <v>24</v>
      </c>
    </row>
    <row r="6" spans="1:49" x14ac:dyDescent="0.25">
      <c r="A6" s="8" t="s">
        <v>25</v>
      </c>
      <c r="B6" s="30" t="s">
        <v>25</v>
      </c>
      <c r="C6" s="26" t="s">
        <v>25</v>
      </c>
      <c r="D6" s="26" t="s">
        <v>25</v>
      </c>
      <c r="E6" s="26" t="s">
        <v>25</v>
      </c>
      <c r="F6" s="26" t="s">
        <v>25</v>
      </c>
      <c r="G6" s="26" t="s">
        <v>25</v>
      </c>
      <c r="H6" s="26" t="s">
        <v>25</v>
      </c>
      <c r="I6" s="26" t="s">
        <v>25</v>
      </c>
      <c r="J6" s="26" t="s">
        <v>3</v>
      </c>
      <c r="K6" s="26" t="s">
        <v>3</v>
      </c>
      <c r="L6" s="26" t="s">
        <v>25</v>
      </c>
      <c r="M6" s="26" t="s">
        <v>25</v>
      </c>
      <c r="N6" s="26" t="s">
        <v>25</v>
      </c>
      <c r="O6" s="26" t="s">
        <v>25</v>
      </c>
      <c r="P6" s="26" t="s">
        <v>25</v>
      </c>
      <c r="Q6" s="26" t="s">
        <v>25</v>
      </c>
      <c r="R6" s="26" t="s">
        <v>25</v>
      </c>
      <c r="S6" s="26" t="s">
        <v>25</v>
      </c>
      <c r="T6" s="26" t="s">
        <v>25</v>
      </c>
      <c r="U6" s="26" t="s">
        <v>3</v>
      </c>
      <c r="V6" s="26" t="s">
        <v>3</v>
      </c>
      <c r="W6" s="26" t="s">
        <v>3</v>
      </c>
      <c r="X6" s="26" t="s">
        <v>25</v>
      </c>
      <c r="Y6" s="26" t="s">
        <v>25</v>
      </c>
      <c r="Z6" s="26" t="s">
        <v>25</v>
      </c>
      <c r="AA6" s="26" t="s">
        <v>25</v>
      </c>
      <c r="AB6" s="26" t="s">
        <v>25</v>
      </c>
      <c r="AC6" s="26" t="s">
        <v>25</v>
      </c>
      <c r="AD6" s="26" t="s">
        <v>25</v>
      </c>
      <c r="AE6" s="26" t="s">
        <v>25</v>
      </c>
      <c r="AF6" s="26" t="s">
        <v>25</v>
      </c>
      <c r="AG6" s="26" t="s">
        <v>3</v>
      </c>
      <c r="AH6" s="26" t="s">
        <v>3</v>
      </c>
      <c r="AI6" s="26" t="s">
        <v>3</v>
      </c>
      <c r="AJ6" s="26" t="s">
        <v>25</v>
      </c>
      <c r="AK6" s="26" t="s">
        <v>25</v>
      </c>
      <c r="AL6" s="26" t="s">
        <v>25</v>
      </c>
      <c r="AM6" s="26" t="s">
        <v>25</v>
      </c>
      <c r="AN6" s="26" t="s">
        <v>25</v>
      </c>
      <c r="AO6" s="26" t="s">
        <v>25</v>
      </c>
      <c r="AP6" s="26" t="s">
        <v>25</v>
      </c>
      <c r="AQ6" s="26" t="s">
        <v>25</v>
      </c>
      <c r="AR6" s="26" t="s">
        <v>3</v>
      </c>
      <c r="AS6" s="26" t="s">
        <v>25</v>
      </c>
      <c r="AT6" s="26" t="s">
        <v>25</v>
      </c>
      <c r="AU6" s="26" t="s">
        <v>25</v>
      </c>
      <c r="AV6" s="26" t="s">
        <v>25</v>
      </c>
      <c r="AW6" s="31" t="s">
        <v>25</v>
      </c>
    </row>
    <row r="7" spans="1:49" x14ac:dyDescent="0.25">
      <c r="A7" s="8" t="s">
        <v>26</v>
      </c>
      <c r="B7" s="30" t="s">
        <v>26</v>
      </c>
      <c r="C7" s="26" t="s">
        <v>26</v>
      </c>
      <c r="D7" s="26" t="s">
        <v>26</v>
      </c>
      <c r="E7" s="26" t="s">
        <v>26</v>
      </c>
      <c r="F7" s="26" t="s">
        <v>26</v>
      </c>
      <c r="G7" s="26" t="s">
        <v>26</v>
      </c>
      <c r="H7" s="26" t="s">
        <v>26</v>
      </c>
      <c r="I7" s="26" t="s">
        <v>26</v>
      </c>
      <c r="J7" s="26" t="s">
        <v>26</v>
      </c>
      <c r="K7" s="26" t="s">
        <v>26</v>
      </c>
      <c r="L7" s="26" t="s">
        <v>3</v>
      </c>
      <c r="M7" s="26" t="s">
        <v>3</v>
      </c>
      <c r="N7" s="26" t="s">
        <v>26</v>
      </c>
      <c r="O7" s="26" t="s">
        <v>26</v>
      </c>
      <c r="P7" s="26" t="s">
        <v>26</v>
      </c>
      <c r="Q7" s="26" t="s">
        <v>26</v>
      </c>
      <c r="R7" s="26" t="s">
        <v>26</v>
      </c>
      <c r="S7" s="26" t="s">
        <v>26</v>
      </c>
      <c r="T7" s="26" t="s">
        <v>26</v>
      </c>
      <c r="U7" s="26" t="s">
        <v>26</v>
      </c>
      <c r="V7" s="26" t="s">
        <v>26</v>
      </c>
      <c r="W7" s="26" t="s">
        <v>26</v>
      </c>
      <c r="X7" s="26" t="s">
        <v>3</v>
      </c>
      <c r="Y7" s="26" t="s">
        <v>3</v>
      </c>
      <c r="Z7" s="26" t="s">
        <v>3</v>
      </c>
      <c r="AA7" s="26" t="s">
        <v>26</v>
      </c>
      <c r="AB7" s="26" t="s">
        <v>26</v>
      </c>
      <c r="AC7" s="26" t="s">
        <v>26</v>
      </c>
      <c r="AD7" s="26" t="s">
        <v>26</v>
      </c>
      <c r="AE7" s="26" t="s">
        <v>26</v>
      </c>
      <c r="AF7" s="26" t="s">
        <v>26</v>
      </c>
      <c r="AG7" s="26" t="s">
        <v>26</v>
      </c>
      <c r="AH7" s="26" t="s">
        <v>26</v>
      </c>
      <c r="AI7" s="26" t="s">
        <v>26</v>
      </c>
      <c r="AJ7" s="26" t="s">
        <v>3</v>
      </c>
      <c r="AK7" s="26" t="s">
        <v>3</v>
      </c>
      <c r="AL7" s="26" t="s">
        <v>3</v>
      </c>
      <c r="AM7" s="26" t="s">
        <v>26</v>
      </c>
      <c r="AN7" s="26" t="s">
        <v>26</v>
      </c>
      <c r="AO7" s="26" t="s">
        <v>26</v>
      </c>
      <c r="AP7" s="26" t="s">
        <v>26</v>
      </c>
      <c r="AQ7" s="26" t="s">
        <v>26</v>
      </c>
      <c r="AR7" s="26" t="s">
        <v>26</v>
      </c>
      <c r="AS7" s="26" t="s">
        <v>3</v>
      </c>
      <c r="AT7" s="26" t="s">
        <v>26</v>
      </c>
      <c r="AU7" s="26" t="s">
        <v>26</v>
      </c>
      <c r="AV7" s="26" t="s">
        <v>26</v>
      </c>
      <c r="AW7" s="31" t="s">
        <v>26</v>
      </c>
    </row>
    <row r="8" spans="1:49" ht="15.75" thickBot="1" x14ac:dyDescent="0.3">
      <c r="A8" s="8" t="s">
        <v>27</v>
      </c>
      <c r="B8" s="32" t="s">
        <v>27</v>
      </c>
      <c r="C8" s="33" t="s">
        <v>27</v>
      </c>
      <c r="D8" s="33" t="s">
        <v>27</v>
      </c>
      <c r="E8" s="33" t="s">
        <v>27</v>
      </c>
      <c r="F8" s="33" t="s">
        <v>27</v>
      </c>
      <c r="G8" s="33" t="s">
        <v>27</v>
      </c>
      <c r="H8" s="33" t="s">
        <v>27</v>
      </c>
      <c r="I8" s="33" t="s">
        <v>27</v>
      </c>
      <c r="J8" s="33" t="s">
        <v>27</v>
      </c>
      <c r="K8" s="33" t="s">
        <v>27</v>
      </c>
      <c r="L8" s="33" t="s">
        <v>3</v>
      </c>
      <c r="M8" s="33" t="s">
        <v>3</v>
      </c>
      <c r="N8" s="33" t="s">
        <v>27</v>
      </c>
      <c r="O8" s="33" t="s">
        <v>27</v>
      </c>
      <c r="P8" s="33" t="s">
        <v>27</v>
      </c>
      <c r="Q8" s="33" t="s">
        <v>27</v>
      </c>
      <c r="R8" s="33" t="s">
        <v>27</v>
      </c>
      <c r="S8" s="33" t="s">
        <v>27</v>
      </c>
      <c r="T8" s="33" t="s">
        <v>27</v>
      </c>
      <c r="U8" s="33" t="s">
        <v>27</v>
      </c>
      <c r="V8" s="33" t="s">
        <v>27</v>
      </c>
      <c r="W8" s="33" t="s">
        <v>27</v>
      </c>
      <c r="X8" s="33" t="s">
        <v>3</v>
      </c>
      <c r="Y8" s="33" t="s">
        <v>3</v>
      </c>
      <c r="Z8" s="33" t="s">
        <v>3</v>
      </c>
      <c r="AA8" s="33" t="s">
        <v>27</v>
      </c>
      <c r="AB8" s="33" t="s">
        <v>27</v>
      </c>
      <c r="AC8" s="33" t="s">
        <v>27</v>
      </c>
      <c r="AD8" s="33" t="s">
        <v>27</v>
      </c>
      <c r="AE8" s="33" t="s">
        <v>27</v>
      </c>
      <c r="AF8" s="33" t="s">
        <v>27</v>
      </c>
      <c r="AG8" s="33" t="s">
        <v>27</v>
      </c>
      <c r="AH8" s="33" t="s">
        <v>27</v>
      </c>
      <c r="AI8" s="33" t="s">
        <v>27</v>
      </c>
      <c r="AJ8" s="33" t="s">
        <v>3</v>
      </c>
      <c r="AK8" s="33" t="s">
        <v>3</v>
      </c>
      <c r="AL8" s="33" t="s">
        <v>3</v>
      </c>
      <c r="AM8" s="33" t="s">
        <v>27</v>
      </c>
      <c r="AN8" s="33" t="s">
        <v>27</v>
      </c>
      <c r="AO8" s="33" t="s">
        <v>27</v>
      </c>
      <c r="AP8" s="33" t="s">
        <v>27</v>
      </c>
      <c r="AQ8" s="33" t="s">
        <v>27</v>
      </c>
      <c r="AR8" s="33" t="s">
        <v>27</v>
      </c>
      <c r="AS8" s="33" t="s">
        <v>3</v>
      </c>
      <c r="AT8" s="33" t="s">
        <v>27</v>
      </c>
      <c r="AU8" s="33" t="s">
        <v>27</v>
      </c>
      <c r="AV8" s="33" t="s">
        <v>27</v>
      </c>
      <c r="AW8" s="34" t="s">
        <v>27</v>
      </c>
    </row>
    <row r="9" spans="1:49" ht="15.75" thickBot="1" x14ac:dyDescent="0.3">
      <c r="A9" s="35" t="s">
        <v>17</v>
      </c>
      <c r="B9" s="22">
        <f>SUM(COUNTIF(B3:B8,"AL*"))</f>
        <v>6</v>
      </c>
      <c r="C9" s="22">
        <f t="shared" ref="C9:AW9" si="0">SUM(COUNTIF(C3:C8,"AL*"))</f>
        <v>6</v>
      </c>
      <c r="D9" s="22">
        <f t="shared" si="0"/>
        <v>6</v>
      </c>
      <c r="E9" s="22">
        <f t="shared" si="0"/>
        <v>6</v>
      </c>
      <c r="F9" s="22">
        <f t="shared" si="0"/>
        <v>6</v>
      </c>
      <c r="G9" s="22">
        <f t="shared" si="0"/>
        <v>6</v>
      </c>
      <c r="H9" s="22">
        <f t="shared" si="0"/>
        <v>4</v>
      </c>
      <c r="I9" s="22">
        <f t="shared" si="0"/>
        <v>4</v>
      </c>
      <c r="J9" s="22">
        <f t="shared" si="0"/>
        <v>4</v>
      </c>
      <c r="K9" s="22">
        <f t="shared" si="0"/>
        <v>4</v>
      </c>
      <c r="L9" s="22">
        <f t="shared" si="0"/>
        <v>4</v>
      </c>
      <c r="M9" s="22">
        <f t="shared" si="0"/>
        <v>4</v>
      </c>
      <c r="N9" s="22">
        <f t="shared" si="0"/>
        <v>6</v>
      </c>
      <c r="O9" s="22">
        <f t="shared" si="0"/>
        <v>6</v>
      </c>
      <c r="P9" s="22">
        <f t="shared" si="0"/>
        <v>6</v>
      </c>
      <c r="Q9" s="22">
        <f t="shared" si="0"/>
        <v>6</v>
      </c>
      <c r="R9" s="22">
        <f t="shared" si="0"/>
        <v>4</v>
      </c>
      <c r="S9" s="22">
        <f t="shared" si="0"/>
        <v>4</v>
      </c>
      <c r="T9" s="22">
        <f t="shared" si="0"/>
        <v>4</v>
      </c>
      <c r="U9" s="22">
        <f t="shared" si="0"/>
        <v>4</v>
      </c>
      <c r="V9" s="22">
        <f t="shared" si="0"/>
        <v>4</v>
      </c>
      <c r="W9" s="22">
        <f t="shared" si="0"/>
        <v>4</v>
      </c>
      <c r="X9" s="22">
        <f t="shared" si="0"/>
        <v>4</v>
      </c>
      <c r="Y9" s="22">
        <f t="shared" si="0"/>
        <v>4</v>
      </c>
      <c r="Z9" s="22">
        <f t="shared" si="0"/>
        <v>4</v>
      </c>
      <c r="AA9" s="22">
        <f t="shared" si="0"/>
        <v>6</v>
      </c>
      <c r="AB9" s="22">
        <f t="shared" si="0"/>
        <v>6</v>
      </c>
      <c r="AC9" s="22">
        <f t="shared" si="0"/>
        <v>6</v>
      </c>
      <c r="AD9" s="22">
        <f t="shared" si="0"/>
        <v>4</v>
      </c>
      <c r="AE9" s="22">
        <f t="shared" si="0"/>
        <v>4</v>
      </c>
      <c r="AF9" s="22">
        <f t="shared" si="0"/>
        <v>4</v>
      </c>
      <c r="AG9" s="22">
        <f t="shared" si="0"/>
        <v>4</v>
      </c>
      <c r="AH9" s="22">
        <f t="shared" si="0"/>
        <v>4</v>
      </c>
      <c r="AI9" s="22">
        <f t="shared" si="0"/>
        <v>4</v>
      </c>
      <c r="AJ9" s="22">
        <f t="shared" si="0"/>
        <v>4</v>
      </c>
      <c r="AK9" s="22">
        <f t="shared" si="0"/>
        <v>4</v>
      </c>
      <c r="AL9" s="22">
        <f t="shared" si="0"/>
        <v>4</v>
      </c>
      <c r="AM9" s="22">
        <f t="shared" si="0"/>
        <v>6</v>
      </c>
      <c r="AN9" s="22">
        <f t="shared" si="0"/>
        <v>6</v>
      </c>
      <c r="AO9" s="22">
        <f t="shared" si="0"/>
        <v>6</v>
      </c>
      <c r="AP9" s="22">
        <f t="shared" si="0"/>
        <v>6</v>
      </c>
      <c r="AQ9" s="22">
        <f t="shared" si="0"/>
        <v>4</v>
      </c>
      <c r="AR9" s="22">
        <f t="shared" si="0"/>
        <v>4</v>
      </c>
      <c r="AS9" s="22">
        <f t="shared" si="0"/>
        <v>4</v>
      </c>
      <c r="AT9" s="22">
        <f t="shared" si="0"/>
        <v>6</v>
      </c>
      <c r="AU9" s="22">
        <f t="shared" si="0"/>
        <v>6</v>
      </c>
      <c r="AV9" s="22">
        <f t="shared" si="0"/>
        <v>6</v>
      </c>
      <c r="AW9" s="23">
        <f t="shared" si="0"/>
        <v>6</v>
      </c>
    </row>
    <row r="10" spans="1:49" ht="15.75" thickBot="1" x14ac:dyDescent="0.3">
      <c r="A10" s="35" t="s">
        <v>18</v>
      </c>
      <c r="B10" s="24">
        <f>SUM(COUNTIF(B3:B8,"=Acar*"))</f>
        <v>0</v>
      </c>
      <c r="C10" s="24">
        <f t="shared" ref="C10:AW10" si="1">SUM(COUNTIF(C3:C8,"=Acar*"))</f>
        <v>0</v>
      </c>
      <c r="D10" s="24">
        <f t="shared" si="1"/>
        <v>0</v>
      </c>
      <c r="E10" s="24">
        <f t="shared" si="1"/>
        <v>0</v>
      </c>
      <c r="F10" s="24">
        <f t="shared" si="1"/>
        <v>0</v>
      </c>
      <c r="G10" s="24">
        <f t="shared" si="1"/>
        <v>0</v>
      </c>
      <c r="H10" s="24">
        <f t="shared" si="1"/>
        <v>0</v>
      </c>
      <c r="I10" s="24">
        <f t="shared" si="1"/>
        <v>0</v>
      </c>
      <c r="J10" s="24">
        <f t="shared" si="1"/>
        <v>0</v>
      </c>
      <c r="K10" s="24">
        <f t="shared" si="1"/>
        <v>0</v>
      </c>
      <c r="L10" s="24">
        <f t="shared" si="1"/>
        <v>0</v>
      </c>
      <c r="M10" s="24">
        <f t="shared" si="1"/>
        <v>0</v>
      </c>
      <c r="N10" s="24">
        <f t="shared" si="1"/>
        <v>0</v>
      </c>
      <c r="O10" s="24">
        <f t="shared" si="1"/>
        <v>0</v>
      </c>
      <c r="P10" s="24">
        <f t="shared" si="1"/>
        <v>0</v>
      </c>
      <c r="Q10" s="24">
        <f t="shared" si="1"/>
        <v>0</v>
      </c>
      <c r="R10" s="24">
        <f t="shared" si="1"/>
        <v>0</v>
      </c>
      <c r="S10" s="24">
        <f t="shared" si="1"/>
        <v>0</v>
      </c>
      <c r="T10" s="24">
        <f t="shared" si="1"/>
        <v>0</v>
      </c>
      <c r="U10" s="24">
        <f t="shared" si="1"/>
        <v>0</v>
      </c>
      <c r="V10" s="24">
        <f t="shared" si="1"/>
        <v>0</v>
      </c>
      <c r="W10" s="24">
        <f t="shared" si="1"/>
        <v>0</v>
      </c>
      <c r="X10" s="24">
        <f t="shared" si="1"/>
        <v>0</v>
      </c>
      <c r="Y10" s="24">
        <f t="shared" si="1"/>
        <v>0</v>
      </c>
      <c r="Z10" s="24">
        <f t="shared" si="1"/>
        <v>0</v>
      </c>
      <c r="AA10" s="24">
        <f t="shared" si="1"/>
        <v>0</v>
      </c>
      <c r="AB10" s="24">
        <f t="shared" si="1"/>
        <v>0</v>
      </c>
      <c r="AC10" s="24">
        <f t="shared" si="1"/>
        <v>0</v>
      </c>
      <c r="AD10" s="24">
        <f t="shared" si="1"/>
        <v>0</v>
      </c>
      <c r="AE10" s="24">
        <f t="shared" si="1"/>
        <v>0</v>
      </c>
      <c r="AF10" s="24">
        <f t="shared" si="1"/>
        <v>0</v>
      </c>
      <c r="AG10" s="24">
        <f t="shared" si="1"/>
        <v>0</v>
      </c>
      <c r="AH10" s="24">
        <f t="shared" si="1"/>
        <v>0</v>
      </c>
      <c r="AI10" s="24">
        <f t="shared" si="1"/>
        <v>0</v>
      </c>
      <c r="AJ10" s="24">
        <f t="shared" si="1"/>
        <v>0</v>
      </c>
      <c r="AK10" s="24">
        <f t="shared" si="1"/>
        <v>0</v>
      </c>
      <c r="AL10" s="24">
        <f t="shared" si="1"/>
        <v>0</v>
      </c>
      <c r="AM10" s="24">
        <f t="shared" si="1"/>
        <v>0</v>
      </c>
      <c r="AN10" s="24">
        <f t="shared" si="1"/>
        <v>0</v>
      </c>
      <c r="AO10" s="24">
        <f t="shared" si="1"/>
        <v>0</v>
      </c>
      <c r="AP10" s="24">
        <f t="shared" si="1"/>
        <v>0</v>
      </c>
      <c r="AQ10" s="24">
        <f t="shared" si="1"/>
        <v>0</v>
      </c>
      <c r="AR10" s="24">
        <f t="shared" si="1"/>
        <v>0</v>
      </c>
      <c r="AS10" s="24">
        <f t="shared" si="1"/>
        <v>0</v>
      </c>
      <c r="AT10" s="24">
        <f t="shared" si="1"/>
        <v>0</v>
      </c>
      <c r="AU10" s="24">
        <f t="shared" si="1"/>
        <v>0</v>
      </c>
      <c r="AV10" s="24">
        <f t="shared" si="1"/>
        <v>0</v>
      </c>
      <c r="AW10" s="25">
        <f t="shared" si="1"/>
        <v>0</v>
      </c>
    </row>
    <row r="11" spans="1:49" ht="15.75" thickBot="1" x14ac:dyDescent="0.3">
      <c r="A11" s="35" t="s">
        <v>2</v>
      </c>
      <c r="B11" s="22" t="str">
        <f>IF(B10=0, CONCATENATE(B9), CONCATENATE(B9, ",",B10))</f>
        <v>6</v>
      </c>
      <c r="C11" s="22" t="str">
        <f t="shared" ref="C11:D11" si="2">IF(C10=0, CONCATENATE(C9), CONCATENATE(C9, ",",C10))</f>
        <v>6</v>
      </c>
      <c r="D11" s="22" t="str">
        <f t="shared" si="2"/>
        <v>6</v>
      </c>
      <c r="E11" s="22" t="str">
        <f t="shared" ref="E11:AW11" si="3">IF(E10=0, CONCATENATE(E9), CONCATENATE(E9, ",",E10))</f>
        <v>6</v>
      </c>
      <c r="F11" s="22" t="str">
        <f t="shared" si="3"/>
        <v>6</v>
      </c>
      <c r="G11" s="22" t="str">
        <f t="shared" si="3"/>
        <v>6</v>
      </c>
      <c r="H11" s="22" t="str">
        <f t="shared" si="3"/>
        <v>4</v>
      </c>
      <c r="I11" s="22" t="str">
        <f t="shared" si="3"/>
        <v>4</v>
      </c>
      <c r="J11" s="22" t="str">
        <f t="shared" si="3"/>
        <v>4</v>
      </c>
      <c r="K11" s="22" t="str">
        <f t="shared" si="3"/>
        <v>4</v>
      </c>
      <c r="L11" s="22" t="str">
        <f t="shared" si="3"/>
        <v>4</v>
      </c>
      <c r="M11" s="22" t="str">
        <f t="shared" si="3"/>
        <v>4</v>
      </c>
      <c r="N11" s="22" t="str">
        <f t="shared" si="3"/>
        <v>6</v>
      </c>
      <c r="O11" s="22" t="str">
        <f t="shared" si="3"/>
        <v>6</v>
      </c>
      <c r="P11" s="22" t="str">
        <f t="shared" si="3"/>
        <v>6</v>
      </c>
      <c r="Q11" s="22" t="str">
        <f t="shared" si="3"/>
        <v>6</v>
      </c>
      <c r="R11" s="22" t="str">
        <f t="shared" si="3"/>
        <v>4</v>
      </c>
      <c r="S11" s="22" t="str">
        <f t="shared" si="3"/>
        <v>4</v>
      </c>
      <c r="T11" s="22" t="str">
        <f t="shared" si="3"/>
        <v>4</v>
      </c>
      <c r="U11" s="22" t="str">
        <f t="shared" si="3"/>
        <v>4</v>
      </c>
      <c r="V11" s="22" t="str">
        <f t="shared" si="3"/>
        <v>4</v>
      </c>
      <c r="W11" s="22" t="str">
        <f t="shared" si="3"/>
        <v>4</v>
      </c>
      <c r="X11" s="22" t="str">
        <f t="shared" si="3"/>
        <v>4</v>
      </c>
      <c r="Y11" s="22" t="str">
        <f t="shared" si="3"/>
        <v>4</v>
      </c>
      <c r="Z11" s="22" t="str">
        <f t="shared" si="3"/>
        <v>4</v>
      </c>
      <c r="AA11" s="22" t="str">
        <f t="shared" si="3"/>
        <v>6</v>
      </c>
      <c r="AB11" s="22" t="str">
        <f t="shared" si="3"/>
        <v>6</v>
      </c>
      <c r="AC11" s="22" t="str">
        <f t="shared" si="3"/>
        <v>6</v>
      </c>
      <c r="AD11" s="22" t="str">
        <f>IF(AA10=0, CONCATENATE(AA9), CONCATENATE(AA9, ",",AA10))</f>
        <v>6</v>
      </c>
      <c r="AE11" s="22" t="str">
        <f t="shared" si="3"/>
        <v>4</v>
      </c>
      <c r="AF11" s="22" t="str">
        <f t="shared" si="3"/>
        <v>4</v>
      </c>
      <c r="AG11" s="22" t="str">
        <f t="shared" si="3"/>
        <v>4</v>
      </c>
      <c r="AH11" s="22" t="str">
        <f t="shared" si="3"/>
        <v>4</v>
      </c>
      <c r="AI11" s="22" t="str">
        <f t="shared" si="3"/>
        <v>4</v>
      </c>
      <c r="AJ11" s="22" t="str">
        <f t="shared" si="3"/>
        <v>4</v>
      </c>
      <c r="AK11" s="22" t="str">
        <f t="shared" si="3"/>
        <v>4</v>
      </c>
      <c r="AL11" s="22" t="str">
        <f t="shared" si="3"/>
        <v>4</v>
      </c>
      <c r="AM11" s="22" t="str">
        <f t="shared" si="3"/>
        <v>6</v>
      </c>
      <c r="AN11" s="22" t="str">
        <f t="shared" si="3"/>
        <v>6</v>
      </c>
      <c r="AO11" s="22" t="str">
        <f t="shared" si="3"/>
        <v>6</v>
      </c>
      <c r="AP11" s="22" t="str">
        <f t="shared" si="3"/>
        <v>6</v>
      </c>
      <c r="AQ11" s="22" t="str">
        <f t="shared" si="3"/>
        <v>4</v>
      </c>
      <c r="AR11" s="22" t="str">
        <f t="shared" si="3"/>
        <v>4</v>
      </c>
      <c r="AS11" s="22" t="str">
        <f t="shared" si="3"/>
        <v>4</v>
      </c>
      <c r="AT11" s="22" t="str">
        <f t="shared" si="3"/>
        <v>6</v>
      </c>
      <c r="AU11" s="22" t="str">
        <f t="shared" si="3"/>
        <v>6</v>
      </c>
      <c r="AV11" s="22" t="str">
        <f t="shared" si="3"/>
        <v>6</v>
      </c>
      <c r="AW11" s="23" t="str">
        <f t="shared" si="3"/>
        <v>6</v>
      </c>
    </row>
    <row r="12" spans="1:49" ht="15.75" thickBot="1" x14ac:dyDescent="0.3">
      <c r="A12" s="44" t="s">
        <v>4</v>
      </c>
      <c r="B12" s="45"/>
      <c r="C12" s="45"/>
      <c r="D12" s="45"/>
      <c r="E12" s="45"/>
      <c r="F12" s="45"/>
      <c r="G12" s="45"/>
      <c r="H12" s="45"/>
      <c r="I12" s="45"/>
      <c r="J12" s="45"/>
      <c r="K12" s="45"/>
      <c r="L12" s="45"/>
      <c r="M12" s="45"/>
      <c r="N12" s="45"/>
      <c r="O12" s="45"/>
      <c r="P12" s="45"/>
      <c r="Q12" s="45"/>
      <c r="R12" s="45"/>
      <c r="S12" s="45"/>
      <c r="T12" s="45"/>
      <c r="U12" s="45"/>
      <c r="V12" s="45"/>
      <c r="W12" s="45"/>
      <c r="X12" s="45"/>
      <c r="Y12" s="45"/>
      <c r="Z12" s="45"/>
      <c r="AA12" s="45"/>
      <c r="AB12" s="45"/>
      <c r="AC12" s="45"/>
      <c r="AD12" s="45"/>
      <c r="AE12" s="45"/>
      <c r="AF12" s="45"/>
      <c r="AG12" s="45"/>
      <c r="AH12" s="45"/>
      <c r="AI12" s="45"/>
      <c r="AJ12" s="45"/>
      <c r="AK12" s="45"/>
      <c r="AL12" s="45"/>
      <c r="AM12" s="45"/>
      <c r="AN12" s="45"/>
      <c r="AO12" s="45"/>
      <c r="AP12" s="45"/>
      <c r="AQ12" s="45"/>
      <c r="AR12" s="45"/>
      <c r="AS12" s="45"/>
      <c r="AT12" s="45"/>
      <c r="AU12" s="45"/>
      <c r="AV12" s="45"/>
      <c r="AW12" s="46"/>
    </row>
    <row r="13" spans="1:49" x14ac:dyDescent="0.25">
      <c r="A13" s="7" t="s">
        <v>6</v>
      </c>
      <c r="B13" s="27"/>
      <c r="C13" s="28"/>
      <c r="D13" s="28"/>
      <c r="E13" s="28"/>
      <c r="F13" s="28"/>
      <c r="G13" s="28"/>
      <c r="H13" s="28" t="s">
        <v>22</v>
      </c>
      <c r="I13" s="28" t="s">
        <v>22</v>
      </c>
      <c r="J13" s="28" t="s">
        <v>24</v>
      </c>
      <c r="K13" s="28" t="s">
        <v>24</v>
      </c>
      <c r="L13" s="28" t="s">
        <v>26</v>
      </c>
      <c r="M13" s="28" t="s">
        <v>26</v>
      </c>
      <c r="N13" s="28"/>
      <c r="O13" s="28"/>
      <c r="P13" s="28"/>
      <c r="Q13" s="28"/>
      <c r="R13" s="28" t="s">
        <v>22</v>
      </c>
      <c r="S13" s="28" t="s">
        <v>22</v>
      </c>
      <c r="T13" s="28" t="s">
        <v>22</v>
      </c>
      <c r="U13" s="28" t="s">
        <v>24</v>
      </c>
      <c r="V13" s="28" t="s">
        <v>24</v>
      </c>
      <c r="W13" s="28" t="s">
        <v>24</v>
      </c>
      <c r="X13" s="28" t="s">
        <v>26</v>
      </c>
      <c r="Y13" s="28" t="s">
        <v>26</v>
      </c>
      <c r="Z13" s="28" t="s">
        <v>26</v>
      </c>
      <c r="AA13" s="28"/>
      <c r="AB13" s="28"/>
      <c r="AC13" s="28"/>
      <c r="AD13" s="28" t="s">
        <v>22</v>
      </c>
      <c r="AE13" s="28" t="s">
        <v>22</v>
      </c>
      <c r="AF13" s="28" t="s">
        <v>22</v>
      </c>
      <c r="AG13" s="28" t="s">
        <v>24</v>
      </c>
      <c r="AH13" s="28" t="s">
        <v>24</v>
      </c>
      <c r="AI13" s="28" t="s">
        <v>24</v>
      </c>
      <c r="AJ13" s="28" t="s">
        <v>26</v>
      </c>
      <c r="AK13" s="28" t="s">
        <v>26</v>
      </c>
      <c r="AL13" s="28" t="s">
        <v>26</v>
      </c>
      <c r="AM13" s="28"/>
      <c r="AN13" s="28"/>
      <c r="AO13" s="28"/>
      <c r="AP13" s="28"/>
      <c r="AQ13" s="28" t="s">
        <v>22</v>
      </c>
      <c r="AR13" s="28" t="s">
        <v>24</v>
      </c>
      <c r="AS13" s="28" t="s">
        <v>26</v>
      </c>
      <c r="AT13" s="28"/>
      <c r="AU13" s="28"/>
      <c r="AV13" s="28"/>
      <c r="AW13" s="29"/>
    </row>
    <row r="14" spans="1:49" x14ac:dyDescent="0.25">
      <c r="A14" s="8" t="s">
        <v>6</v>
      </c>
      <c r="B14" s="30"/>
      <c r="C14" s="26"/>
      <c r="D14" s="26"/>
      <c r="E14" s="26"/>
      <c r="F14" s="26"/>
      <c r="G14" s="26"/>
      <c r="H14" s="26" t="s">
        <v>23</v>
      </c>
      <c r="I14" s="26" t="s">
        <v>23</v>
      </c>
      <c r="J14" s="26" t="s">
        <v>25</v>
      </c>
      <c r="K14" s="26" t="s">
        <v>25</v>
      </c>
      <c r="L14" s="26" t="s">
        <v>27</v>
      </c>
      <c r="M14" s="26" t="s">
        <v>27</v>
      </c>
      <c r="N14" s="26"/>
      <c r="O14" s="26"/>
      <c r="P14" s="26"/>
      <c r="Q14" s="26"/>
      <c r="R14" s="26" t="s">
        <v>23</v>
      </c>
      <c r="S14" s="26" t="s">
        <v>23</v>
      </c>
      <c r="T14" s="26" t="s">
        <v>23</v>
      </c>
      <c r="U14" s="26" t="s">
        <v>25</v>
      </c>
      <c r="V14" s="26" t="s">
        <v>25</v>
      </c>
      <c r="W14" s="26" t="s">
        <v>25</v>
      </c>
      <c r="X14" s="26" t="s">
        <v>27</v>
      </c>
      <c r="Y14" s="26" t="s">
        <v>27</v>
      </c>
      <c r="Z14" s="26" t="s">
        <v>27</v>
      </c>
      <c r="AA14" s="26"/>
      <c r="AB14" s="26"/>
      <c r="AC14" s="26"/>
      <c r="AD14" s="26" t="s">
        <v>23</v>
      </c>
      <c r="AE14" s="26" t="s">
        <v>23</v>
      </c>
      <c r="AF14" s="26" t="s">
        <v>23</v>
      </c>
      <c r="AG14" s="26" t="s">
        <v>25</v>
      </c>
      <c r="AH14" s="26" t="s">
        <v>25</v>
      </c>
      <c r="AI14" s="26" t="s">
        <v>25</v>
      </c>
      <c r="AJ14" s="26" t="s">
        <v>27</v>
      </c>
      <c r="AK14" s="26" t="s">
        <v>27</v>
      </c>
      <c r="AL14" s="26" t="s">
        <v>27</v>
      </c>
      <c r="AM14" s="26"/>
      <c r="AN14" s="26"/>
      <c r="AO14" s="26"/>
      <c r="AP14" s="26"/>
      <c r="AQ14" s="26" t="s">
        <v>23</v>
      </c>
      <c r="AR14" s="26" t="s">
        <v>25</v>
      </c>
      <c r="AS14" s="26" t="s">
        <v>27</v>
      </c>
      <c r="AT14" s="26"/>
      <c r="AU14" s="26"/>
      <c r="AV14" s="26"/>
      <c r="AW14" s="31"/>
    </row>
    <row r="15" spans="1:49" x14ac:dyDescent="0.25">
      <c r="A15" s="8"/>
      <c r="B15" s="30"/>
      <c r="C15" s="26"/>
      <c r="D15" s="26"/>
      <c r="E15" s="26"/>
      <c r="F15" s="26"/>
      <c r="G15" s="26"/>
      <c r="H15" s="26"/>
      <c r="I15" s="26"/>
      <c r="J15" s="26"/>
      <c r="K15" s="26"/>
      <c r="L15" s="26"/>
      <c r="M15" s="26"/>
      <c r="N15" s="26"/>
      <c r="O15" s="26"/>
      <c r="P15" s="26"/>
      <c r="Q15" s="26"/>
      <c r="R15" s="26"/>
      <c r="S15" s="26"/>
      <c r="T15" s="26"/>
      <c r="U15" s="26"/>
      <c r="V15" s="26"/>
      <c r="W15" s="26"/>
      <c r="X15" s="26"/>
      <c r="Y15" s="26"/>
      <c r="Z15" s="26"/>
      <c r="AA15" s="26"/>
      <c r="AB15" s="26"/>
      <c r="AC15" s="26"/>
      <c r="AD15" s="26"/>
      <c r="AE15" s="26"/>
      <c r="AF15" s="26"/>
      <c r="AG15" s="26"/>
      <c r="AH15" s="26"/>
      <c r="AI15" s="26"/>
      <c r="AJ15" s="26"/>
      <c r="AK15" s="26"/>
      <c r="AL15" s="26"/>
      <c r="AM15" s="26"/>
      <c r="AN15" s="26"/>
      <c r="AO15" s="26"/>
      <c r="AP15" s="26"/>
      <c r="AQ15" s="26"/>
      <c r="AR15" s="26"/>
      <c r="AS15" s="26"/>
      <c r="AT15" s="26"/>
      <c r="AU15" s="26"/>
      <c r="AV15" s="26"/>
      <c r="AW15" s="31"/>
    </row>
    <row r="16" spans="1:49" x14ac:dyDescent="0.25">
      <c r="A16" s="8"/>
      <c r="B16" s="30"/>
      <c r="C16" s="26"/>
      <c r="D16" s="26"/>
      <c r="E16" s="26"/>
      <c r="F16" s="26"/>
      <c r="G16" s="26"/>
      <c r="H16" s="26"/>
      <c r="I16" s="26"/>
      <c r="J16" s="26"/>
      <c r="K16" s="26"/>
      <c r="L16" s="26"/>
      <c r="M16" s="26"/>
      <c r="N16" s="26"/>
      <c r="O16" s="26"/>
      <c r="P16" s="26"/>
      <c r="Q16" s="26"/>
      <c r="R16" s="26"/>
      <c r="S16" s="26"/>
      <c r="T16" s="26"/>
      <c r="U16" s="26"/>
      <c r="V16" s="26"/>
      <c r="W16" s="26"/>
      <c r="X16" s="26"/>
      <c r="Y16" s="26"/>
      <c r="Z16" s="26"/>
      <c r="AA16" s="26"/>
      <c r="AB16" s="26"/>
      <c r="AC16" s="26"/>
      <c r="AD16" s="26"/>
      <c r="AE16" s="26"/>
      <c r="AF16" s="26"/>
      <c r="AG16" s="26"/>
      <c r="AH16" s="26"/>
      <c r="AI16" s="26"/>
      <c r="AJ16" s="26"/>
      <c r="AK16" s="26"/>
      <c r="AL16" s="26"/>
      <c r="AM16" s="26"/>
      <c r="AN16" s="26"/>
      <c r="AO16" s="26"/>
      <c r="AP16" s="26"/>
      <c r="AQ16" s="26"/>
      <c r="AR16" s="26"/>
      <c r="AS16" s="26"/>
      <c r="AT16" s="26"/>
      <c r="AU16" s="26"/>
      <c r="AV16" s="26"/>
      <c r="AW16" s="31"/>
    </row>
    <row r="17" spans="1:49" x14ac:dyDescent="0.25">
      <c r="A17" s="8"/>
      <c r="B17" s="30"/>
      <c r="C17" s="26"/>
      <c r="D17" s="26"/>
      <c r="E17" s="26"/>
      <c r="F17" s="26"/>
      <c r="G17" s="26"/>
      <c r="H17" s="26"/>
      <c r="I17" s="26"/>
      <c r="J17" s="26"/>
      <c r="K17" s="26"/>
      <c r="L17" s="26"/>
      <c r="M17" s="26"/>
      <c r="N17" s="26"/>
      <c r="O17" s="26"/>
      <c r="P17" s="26"/>
      <c r="Q17" s="26"/>
      <c r="R17" s="26"/>
      <c r="S17" s="26"/>
      <c r="T17" s="26"/>
      <c r="U17" s="26"/>
      <c r="V17" s="26"/>
      <c r="W17" s="26"/>
      <c r="X17" s="26"/>
      <c r="Y17" s="26"/>
      <c r="Z17" s="26"/>
      <c r="AA17" s="26"/>
      <c r="AB17" s="26"/>
      <c r="AC17" s="26"/>
      <c r="AD17" s="26"/>
      <c r="AE17" s="26"/>
      <c r="AF17" s="26"/>
      <c r="AG17" s="26"/>
      <c r="AH17" s="26"/>
      <c r="AI17" s="26"/>
      <c r="AJ17" s="26"/>
      <c r="AK17" s="26"/>
      <c r="AL17" s="26"/>
      <c r="AM17" s="26"/>
      <c r="AN17" s="26"/>
      <c r="AO17" s="26"/>
      <c r="AP17" s="26"/>
      <c r="AQ17" s="26"/>
      <c r="AR17" s="26"/>
      <c r="AS17" s="26"/>
      <c r="AT17" s="26"/>
      <c r="AU17" s="26"/>
      <c r="AV17" s="26"/>
      <c r="AW17" s="31"/>
    </row>
    <row r="18" spans="1:49" ht="15.75" thickBot="1" x14ac:dyDescent="0.3">
      <c r="A18" s="9"/>
      <c r="B18" s="32"/>
      <c r="C18" s="33"/>
      <c r="D18" s="33"/>
      <c r="E18" s="33"/>
      <c r="F18" s="33"/>
      <c r="G18" s="33"/>
      <c r="H18" s="33"/>
      <c r="I18" s="33"/>
      <c r="J18" s="33"/>
      <c r="K18" s="33"/>
      <c r="L18" s="33"/>
      <c r="M18" s="33"/>
      <c r="N18" s="33"/>
      <c r="O18" s="33"/>
      <c r="P18" s="33"/>
      <c r="Q18" s="33"/>
      <c r="R18" s="33"/>
      <c r="S18" s="33"/>
      <c r="T18" s="33"/>
      <c r="U18" s="33"/>
      <c r="V18" s="33"/>
      <c r="W18" s="33"/>
      <c r="X18" s="33"/>
      <c r="Y18" s="33"/>
      <c r="Z18" s="33"/>
      <c r="AA18" s="33"/>
      <c r="AB18" s="33"/>
      <c r="AC18" s="33"/>
      <c r="AD18" s="33"/>
      <c r="AE18" s="33"/>
      <c r="AF18" s="33"/>
      <c r="AG18" s="33"/>
      <c r="AH18" s="33"/>
      <c r="AI18" s="33"/>
      <c r="AJ18" s="33"/>
      <c r="AK18" s="33"/>
      <c r="AL18" s="33"/>
      <c r="AM18" s="33"/>
      <c r="AN18" s="33"/>
      <c r="AO18" s="33"/>
      <c r="AP18" s="33"/>
      <c r="AQ18" s="33"/>
      <c r="AR18" s="33"/>
      <c r="AS18" s="33"/>
      <c r="AT18" s="33"/>
      <c r="AU18" s="33"/>
      <c r="AV18" s="33"/>
      <c r="AW18" s="34"/>
    </row>
    <row r="19" spans="1:49" ht="15.75" thickBot="1" x14ac:dyDescent="0.3">
      <c r="A19" s="38" t="s">
        <v>17</v>
      </c>
      <c r="B19" s="24">
        <f>SUM(COUNTIF(B13:B18,"=AL*"))</f>
        <v>0</v>
      </c>
      <c r="C19" s="24">
        <f t="shared" ref="C19:AW19" si="4">SUM(COUNTIF(C13:C18,"=AL*"))</f>
        <v>0</v>
      </c>
      <c r="D19" s="24">
        <f t="shared" si="4"/>
        <v>0</v>
      </c>
      <c r="E19" s="24">
        <f t="shared" si="4"/>
        <v>0</v>
      </c>
      <c r="F19" s="24">
        <f t="shared" si="4"/>
        <v>0</v>
      </c>
      <c r="G19" s="24">
        <f t="shared" si="4"/>
        <v>0</v>
      </c>
      <c r="H19" s="24">
        <f t="shared" si="4"/>
        <v>2</v>
      </c>
      <c r="I19" s="24">
        <f t="shared" si="4"/>
        <v>2</v>
      </c>
      <c r="J19" s="24">
        <f t="shared" si="4"/>
        <v>2</v>
      </c>
      <c r="K19" s="24">
        <f t="shared" si="4"/>
        <v>2</v>
      </c>
      <c r="L19" s="24">
        <f t="shared" si="4"/>
        <v>2</v>
      </c>
      <c r="M19" s="24">
        <f t="shared" si="4"/>
        <v>2</v>
      </c>
      <c r="N19" s="24">
        <f t="shared" si="4"/>
        <v>0</v>
      </c>
      <c r="O19" s="24">
        <f t="shared" si="4"/>
        <v>0</v>
      </c>
      <c r="P19" s="24">
        <f t="shared" si="4"/>
        <v>0</v>
      </c>
      <c r="Q19" s="24">
        <f t="shared" si="4"/>
        <v>0</v>
      </c>
      <c r="R19" s="24">
        <f t="shared" si="4"/>
        <v>2</v>
      </c>
      <c r="S19" s="24">
        <f t="shared" si="4"/>
        <v>2</v>
      </c>
      <c r="T19" s="24">
        <f t="shared" si="4"/>
        <v>2</v>
      </c>
      <c r="U19" s="24">
        <f t="shared" si="4"/>
        <v>2</v>
      </c>
      <c r="V19" s="24">
        <f t="shared" si="4"/>
        <v>2</v>
      </c>
      <c r="W19" s="24">
        <f t="shared" si="4"/>
        <v>2</v>
      </c>
      <c r="X19" s="24">
        <f t="shared" si="4"/>
        <v>2</v>
      </c>
      <c r="Y19" s="24">
        <f t="shared" si="4"/>
        <v>2</v>
      </c>
      <c r="Z19" s="24">
        <f t="shared" si="4"/>
        <v>2</v>
      </c>
      <c r="AA19" s="24">
        <f t="shared" si="4"/>
        <v>0</v>
      </c>
      <c r="AB19" s="24">
        <f t="shared" si="4"/>
        <v>0</v>
      </c>
      <c r="AC19" s="24">
        <f t="shared" si="4"/>
        <v>0</v>
      </c>
      <c r="AD19" s="24">
        <f t="shared" si="4"/>
        <v>2</v>
      </c>
      <c r="AE19" s="24">
        <f t="shared" si="4"/>
        <v>2</v>
      </c>
      <c r="AF19" s="24">
        <f t="shared" si="4"/>
        <v>2</v>
      </c>
      <c r="AG19" s="24">
        <f t="shared" si="4"/>
        <v>2</v>
      </c>
      <c r="AH19" s="24">
        <f t="shared" si="4"/>
        <v>2</v>
      </c>
      <c r="AI19" s="24">
        <f t="shared" si="4"/>
        <v>2</v>
      </c>
      <c r="AJ19" s="24">
        <f t="shared" si="4"/>
        <v>2</v>
      </c>
      <c r="AK19" s="24">
        <f t="shared" si="4"/>
        <v>2</v>
      </c>
      <c r="AL19" s="24">
        <f t="shared" si="4"/>
        <v>2</v>
      </c>
      <c r="AM19" s="24">
        <f t="shared" si="4"/>
        <v>0</v>
      </c>
      <c r="AN19" s="24">
        <f t="shared" si="4"/>
        <v>0</v>
      </c>
      <c r="AO19" s="24">
        <f t="shared" si="4"/>
        <v>0</v>
      </c>
      <c r="AP19" s="24">
        <f t="shared" si="4"/>
        <v>0</v>
      </c>
      <c r="AQ19" s="24">
        <f t="shared" si="4"/>
        <v>2</v>
      </c>
      <c r="AR19" s="24">
        <f t="shared" si="4"/>
        <v>2</v>
      </c>
      <c r="AS19" s="24">
        <f t="shared" si="4"/>
        <v>2</v>
      </c>
      <c r="AT19" s="24">
        <f t="shared" si="4"/>
        <v>0</v>
      </c>
      <c r="AU19" s="24">
        <f t="shared" si="4"/>
        <v>0</v>
      </c>
      <c r="AV19" s="24">
        <f t="shared" si="4"/>
        <v>0</v>
      </c>
      <c r="AW19" s="25">
        <f t="shared" si="4"/>
        <v>0</v>
      </c>
    </row>
    <row r="20" spans="1:49" ht="15.75" thickBot="1" x14ac:dyDescent="0.3">
      <c r="A20" s="38" t="s">
        <v>18</v>
      </c>
      <c r="B20" s="24">
        <f>SUM(COUNTIF(B13:B18,"=Acar*"))</f>
        <v>0</v>
      </c>
      <c r="C20" s="24">
        <f t="shared" ref="C20:AW20" si="5">SUM(COUNTIF(C13:C18,"=Acar*"))</f>
        <v>0</v>
      </c>
      <c r="D20" s="24">
        <f t="shared" si="5"/>
        <v>0</v>
      </c>
      <c r="E20" s="24">
        <f t="shared" si="5"/>
        <v>0</v>
      </c>
      <c r="F20" s="24">
        <f t="shared" si="5"/>
        <v>0</v>
      </c>
      <c r="G20" s="24">
        <f t="shared" si="5"/>
        <v>0</v>
      </c>
      <c r="H20" s="24">
        <f t="shared" si="5"/>
        <v>0</v>
      </c>
      <c r="I20" s="24">
        <f t="shared" si="5"/>
        <v>0</v>
      </c>
      <c r="J20" s="24">
        <f t="shared" si="5"/>
        <v>0</v>
      </c>
      <c r="K20" s="24">
        <f t="shared" si="5"/>
        <v>0</v>
      </c>
      <c r="L20" s="24">
        <f t="shared" si="5"/>
        <v>0</v>
      </c>
      <c r="M20" s="24">
        <f t="shared" si="5"/>
        <v>0</v>
      </c>
      <c r="N20" s="24">
        <f t="shared" si="5"/>
        <v>0</v>
      </c>
      <c r="O20" s="24">
        <f t="shared" si="5"/>
        <v>0</v>
      </c>
      <c r="P20" s="24">
        <f t="shared" si="5"/>
        <v>0</v>
      </c>
      <c r="Q20" s="24">
        <f t="shared" si="5"/>
        <v>0</v>
      </c>
      <c r="R20" s="24">
        <f t="shared" si="5"/>
        <v>0</v>
      </c>
      <c r="S20" s="24">
        <f t="shared" si="5"/>
        <v>0</v>
      </c>
      <c r="T20" s="24">
        <f t="shared" si="5"/>
        <v>0</v>
      </c>
      <c r="U20" s="24">
        <f t="shared" si="5"/>
        <v>0</v>
      </c>
      <c r="V20" s="24">
        <f t="shared" si="5"/>
        <v>0</v>
      </c>
      <c r="W20" s="24">
        <f t="shared" si="5"/>
        <v>0</v>
      </c>
      <c r="X20" s="24">
        <f t="shared" si="5"/>
        <v>0</v>
      </c>
      <c r="Y20" s="24">
        <f t="shared" si="5"/>
        <v>0</v>
      </c>
      <c r="Z20" s="24">
        <f t="shared" si="5"/>
        <v>0</v>
      </c>
      <c r="AA20" s="24">
        <f t="shared" si="5"/>
        <v>0</v>
      </c>
      <c r="AB20" s="24">
        <f t="shared" si="5"/>
        <v>0</v>
      </c>
      <c r="AC20" s="24">
        <f t="shared" si="5"/>
        <v>0</v>
      </c>
      <c r="AD20" s="24">
        <f t="shared" si="5"/>
        <v>0</v>
      </c>
      <c r="AE20" s="24">
        <f t="shared" si="5"/>
        <v>0</v>
      </c>
      <c r="AF20" s="24">
        <f t="shared" si="5"/>
        <v>0</v>
      </c>
      <c r="AG20" s="24">
        <f t="shared" si="5"/>
        <v>0</v>
      </c>
      <c r="AH20" s="24">
        <f t="shared" si="5"/>
        <v>0</v>
      </c>
      <c r="AI20" s="24">
        <f t="shared" si="5"/>
        <v>0</v>
      </c>
      <c r="AJ20" s="24">
        <f t="shared" si="5"/>
        <v>0</v>
      </c>
      <c r="AK20" s="24">
        <f t="shared" si="5"/>
        <v>0</v>
      </c>
      <c r="AL20" s="24">
        <f t="shared" si="5"/>
        <v>0</v>
      </c>
      <c r="AM20" s="24">
        <f t="shared" si="5"/>
        <v>0</v>
      </c>
      <c r="AN20" s="24">
        <f t="shared" si="5"/>
        <v>0</v>
      </c>
      <c r="AO20" s="24">
        <f t="shared" si="5"/>
        <v>0</v>
      </c>
      <c r="AP20" s="24">
        <f t="shared" si="5"/>
        <v>0</v>
      </c>
      <c r="AQ20" s="24">
        <f t="shared" si="5"/>
        <v>0</v>
      </c>
      <c r="AR20" s="24">
        <f t="shared" si="5"/>
        <v>0</v>
      </c>
      <c r="AS20" s="24">
        <f t="shared" si="5"/>
        <v>0</v>
      </c>
      <c r="AT20" s="24">
        <f t="shared" si="5"/>
        <v>0</v>
      </c>
      <c r="AU20" s="24">
        <f t="shared" si="5"/>
        <v>0</v>
      </c>
      <c r="AV20" s="24">
        <f t="shared" si="5"/>
        <v>0</v>
      </c>
      <c r="AW20" s="25">
        <f t="shared" si="5"/>
        <v>0</v>
      </c>
    </row>
    <row r="21" spans="1:49" ht="15.75" thickBot="1" x14ac:dyDescent="0.3">
      <c r="A21" s="38" t="s">
        <v>2</v>
      </c>
      <c r="B21" s="22" t="str">
        <f>IF(B20=0, CONCATENATE(B19), CONCATENATE(B19, ",",B20))</f>
        <v>0</v>
      </c>
      <c r="C21" s="22" t="str">
        <f t="shared" ref="C21:AW21" si="6">IF(C20=0, CONCATENATE(C19), CONCATENATE(C19, ",",C20))</f>
        <v>0</v>
      </c>
      <c r="D21" s="22" t="str">
        <f t="shared" si="6"/>
        <v>0</v>
      </c>
      <c r="E21" s="22" t="str">
        <f t="shared" si="6"/>
        <v>0</v>
      </c>
      <c r="F21" s="22" t="str">
        <f t="shared" si="6"/>
        <v>0</v>
      </c>
      <c r="G21" s="22" t="str">
        <f t="shared" si="6"/>
        <v>0</v>
      </c>
      <c r="H21" s="22" t="str">
        <f t="shared" si="6"/>
        <v>2</v>
      </c>
      <c r="I21" s="22" t="str">
        <f t="shared" si="6"/>
        <v>2</v>
      </c>
      <c r="J21" s="22" t="str">
        <f t="shared" si="6"/>
        <v>2</v>
      </c>
      <c r="K21" s="22" t="str">
        <f t="shared" si="6"/>
        <v>2</v>
      </c>
      <c r="L21" s="22" t="str">
        <f t="shared" si="6"/>
        <v>2</v>
      </c>
      <c r="M21" s="22" t="str">
        <f t="shared" si="6"/>
        <v>2</v>
      </c>
      <c r="N21" s="22" t="str">
        <f t="shared" si="6"/>
        <v>0</v>
      </c>
      <c r="O21" s="22" t="str">
        <f t="shared" si="6"/>
        <v>0</v>
      </c>
      <c r="P21" s="22" t="str">
        <f t="shared" si="6"/>
        <v>0</v>
      </c>
      <c r="Q21" s="22" t="str">
        <f t="shared" si="6"/>
        <v>0</v>
      </c>
      <c r="R21" s="22" t="str">
        <f t="shared" si="6"/>
        <v>2</v>
      </c>
      <c r="S21" s="22" t="str">
        <f t="shared" si="6"/>
        <v>2</v>
      </c>
      <c r="T21" s="22" t="str">
        <f t="shared" si="6"/>
        <v>2</v>
      </c>
      <c r="U21" s="22" t="str">
        <f t="shared" si="6"/>
        <v>2</v>
      </c>
      <c r="V21" s="22" t="str">
        <f t="shared" si="6"/>
        <v>2</v>
      </c>
      <c r="W21" s="22" t="str">
        <f t="shared" si="6"/>
        <v>2</v>
      </c>
      <c r="X21" s="22" t="str">
        <f t="shared" si="6"/>
        <v>2</v>
      </c>
      <c r="Y21" s="22" t="str">
        <f t="shared" si="6"/>
        <v>2</v>
      </c>
      <c r="Z21" s="22" t="str">
        <f t="shared" si="6"/>
        <v>2</v>
      </c>
      <c r="AA21" s="22" t="str">
        <f t="shared" si="6"/>
        <v>0</v>
      </c>
      <c r="AB21" s="22" t="str">
        <f t="shared" si="6"/>
        <v>0</v>
      </c>
      <c r="AC21" s="22" t="str">
        <f t="shared" si="6"/>
        <v>0</v>
      </c>
      <c r="AD21" s="22" t="str">
        <f t="shared" si="6"/>
        <v>2</v>
      </c>
      <c r="AE21" s="22" t="str">
        <f t="shared" si="6"/>
        <v>2</v>
      </c>
      <c r="AF21" s="22" t="str">
        <f t="shared" si="6"/>
        <v>2</v>
      </c>
      <c r="AG21" s="22" t="str">
        <f t="shared" si="6"/>
        <v>2</v>
      </c>
      <c r="AH21" s="22" t="str">
        <f t="shared" si="6"/>
        <v>2</v>
      </c>
      <c r="AI21" s="22" t="str">
        <f t="shared" si="6"/>
        <v>2</v>
      </c>
      <c r="AJ21" s="22" t="str">
        <f t="shared" si="6"/>
        <v>2</v>
      </c>
      <c r="AK21" s="22" t="str">
        <f t="shared" si="6"/>
        <v>2</v>
      </c>
      <c r="AL21" s="22" t="str">
        <f t="shared" si="6"/>
        <v>2</v>
      </c>
      <c r="AM21" s="22" t="str">
        <f t="shared" si="6"/>
        <v>0</v>
      </c>
      <c r="AN21" s="22" t="str">
        <f t="shared" si="6"/>
        <v>0</v>
      </c>
      <c r="AO21" s="22" t="str">
        <f t="shared" si="6"/>
        <v>0</v>
      </c>
      <c r="AP21" s="22" t="str">
        <f t="shared" si="6"/>
        <v>0</v>
      </c>
      <c r="AQ21" s="22" t="str">
        <f t="shared" si="6"/>
        <v>2</v>
      </c>
      <c r="AR21" s="22" t="str">
        <f t="shared" si="6"/>
        <v>2</v>
      </c>
      <c r="AS21" s="22" t="str">
        <f t="shared" si="6"/>
        <v>2</v>
      </c>
      <c r="AT21" s="22" t="str">
        <f t="shared" si="6"/>
        <v>0</v>
      </c>
      <c r="AU21" s="22" t="str">
        <f t="shared" si="6"/>
        <v>0</v>
      </c>
      <c r="AV21" s="22" t="str">
        <f t="shared" si="6"/>
        <v>0</v>
      </c>
      <c r="AW21" s="23" t="str">
        <f t="shared" si="6"/>
        <v>0</v>
      </c>
    </row>
    <row r="22" spans="1:49" ht="15.75" thickBot="1" x14ac:dyDescent="0.3">
      <c r="A22" s="38" t="s">
        <v>19</v>
      </c>
      <c r="B22" s="19" t="str">
        <f>IF(SUM(B10,B20) = 0, CONCATENATE(SUM(B9+B19)), CONCATENATE(SUM(B9,B19), ",", SUM(B10,B20)))</f>
        <v>6</v>
      </c>
      <c r="C22" s="19" t="str">
        <f t="shared" ref="C22:E22" si="7">IF(SUM(C10,C20) = 0, CONCATENATE(SUM(C9+C19)), CONCATENATE(SUM(C9,C19), ",", SUM(C10,C20)))</f>
        <v>6</v>
      </c>
      <c r="D22" s="19" t="str">
        <f t="shared" si="7"/>
        <v>6</v>
      </c>
      <c r="E22" s="19" t="str">
        <f t="shared" si="7"/>
        <v>6</v>
      </c>
      <c r="F22" s="19" t="str">
        <f t="shared" ref="F22:AW22" si="8">IF(SUM(F10,F20) = 0, CONCATENATE(SUM(F9+F19)), CONCATENATE(SUM(F9,F19), ",", SUM(F10,F20)))</f>
        <v>6</v>
      </c>
      <c r="G22" s="19" t="str">
        <f t="shared" si="8"/>
        <v>6</v>
      </c>
      <c r="H22" s="19" t="str">
        <f t="shared" si="8"/>
        <v>6</v>
      </c>
      <c r="I22" s="19" t="str">
        <f t="shared" si="8"/>
        <v>6</v>
      </c>
      <c r="J22" s="19" t="str">
        <f t="shared" si="8"/>
        <v>6</v>
      </c>
      <c r="K22" s="19" t="str">
        <f t="shared" si="8"/>
        <v>6</v>
      </c>
      <c r="L22" s="19" t="str">
        <f t="shared" si="8"/>
        <v>6</v>
      </c>
      <c r="M22" s="19" t="str">
        <f t="shared" si="8"/>
        <v>6</v>
      </c>
      <c r="N22" s="19" t="str">
        <f t="shared" si="8"/>
        <v>6</v>
      </c>
      <c r="O22" s="19" t="str">
        <f t="shared" si="8"/>
        <v>6</v>
      </c>
      <c r="P22" s="19" t="str">
        <f t="shared" si="8"/>
        <v>6</v>
      </c>
      <c r="Q22" s="19" t="str">
        <f t="shared" si="8"/>
        <v>6</v>
      </c>
      <c r="R22" s="19" t="str">
        <f t="shared" si="8"/>
        <v>6</v>
      </c>
      <c r="S22" s="19" t="str">
        <f t="shared" si="8"/>
        <v>6</v>
      </c>
      <c r="T22" s="19" t="str">
        <f t="shared" si="8"/>
        <v>6</v>
      </c>
      <c r="U22" s="19" t="str">
        <f t="shared" si="8"/>
        <v>6</v>
      </c>
      <c r="V22" s="19" t="str">
        <f t="shared" si="8"/>
        <v>6</v>
      </c>
      <c r="W22" s="19" t="str">
        <f t="shared" si="8"/>
        <v>6</v>
      </c>
      <c r="X22" s="19" t="str">
        <f t="shared" si="8"/>
        <v>6</v>
      </c>
      <c r="Y22" s="19" t="str">
        <f t="shared" si="8"/>
        <v>6</v>
      </c>
      <c r="Z22" s="19" t="str">
        <f t="shared" si="8"/>
        <v>6</v>
      </c>
      <c r="AA22" s="19" t="str">
        <f t="shared" si="8"/>
        <v>6</v>
      </c>
      <c r="AB22" s="19" t="str">
        <f t="shared" si="8"/>
        <v>6</v>
      </c>
      <c r="AC22" s="19" t="str">
        <f t="shared" si="8"/>
        <v>6</v>
      </c>
      <c r="AD22" s="19" t="str">
        <f>IF(SUM(AA10,AA20) = 0, CONCATENATE(SUM(AA9+AA19)), CONCATENATE(SUM(AA9,AA19), ",", SUM(AA10,AA20)))</f>
        <v>6</v>
      </c>
      <c r="AE22" s="19" t="str">
        <f t="shared" si="8"/>
        <v>6</v>
      </c>
      <c r="AF22" s="19" t="str">
        <f t="shared" si="8"/>
        <v>6</v>
      </c>
      <c r="AG22" s="19" t="str">
        <f t="shared" si="8"/>
        <v>6</v>
      </c>
      <c r="AH22" s="19" t="str">
        <f t="shared" si="8"/>
        <v>6</v>
      </c>
      <c r="AI22" s="19" t="str">
        <f t="shared" si="8"/>
        <v>6</v>
      </c>
      <c r="AJ22" s="19" t="str">
        <f t="shared" si="8"/>
        <v>6</v>
      </c>
      <c r="AK22" s="19" t="str">
        <f t="shared" si="8"/>
        <v>6</v>
      </c>
      <c r="AL22" s="19" t="str">
        <f t="shared" si="8"/>
        <v>6</v>
      </c>
      <c r="AM22" s="19" t="str">
        <f t="shared" si="8"/>
        <v>6</v>
      </c>
      <c r="AN22" s="19" t="str">
        <f t="shared" si="8"/>
        <v>6</v>
      </c>
      <c r="AO22" s="19" t="str">
        <f t="shared" si="8"/>
        <v>6</v>
      </c>
      <c r="AP22" s="19" t="str">
        <f t="shared" si="8"/>
        <v>6</v>
      </c>
      <c r="AQ22" s="19" t="str">
        <f t="shared" si="8"/>
        <v>6</v>
      </c>
      <c r="AR22" s="19" t="str">
        <f t="shared" si="8"/>
        <v>6</v>
      </c>
      <c r="AS22" s="19" t="str">
        <f t="shared" si="8"/>
        <v>6</v>
      </c>
      <c r="AT22" s="19" t="str">
        <f t="shared" si="8"/>
        <v>6</v>
      </c>
      <c r="AU22" s="19" t="str">
        <f t="shared" si="8"/>
        <v>6</v>
      </c>
      <c r="AV22" s="19" t="str">
        <f t="shared" si="8"/>
        <v>6</v>
      </c>
      <c r="AW22" s="20" t="str">
        <f t="shared" si="8"/>
        <v>6</v>
      </c>
    </row>
  </sheetData>
  <mergeCells count="2">
    <mergeCell ref="A2:AW2"/>
    <mergeCell ref="A12:AW12"/>
  </mergeCells>
  <phoneticPr fontId="2" type="noConversion"/>
  <conditionalFormatting sqref="A3:A4">
    <cfRule type="expression" dxfId="73" priority="16">
      <formula>#REF!&gt;=#REF!</formula>
    </cfRule>
  </conditionalFormatting>
  <conditionalFormatting sqref="A1:AW1">
    <cfRule type="expression" dxfId="72" priority="57">
      <formula>AND(#REF!&gt;=$B$1, #REF! &lt;#REF!)</formula>
    </cfRule>
  </conditionalFormatting>
  <conditionalFormatting sqref="B3:AW10 B13:AW20">
    <cfRule type="cellIs" dxfId="71" priority="1" operator="equal">
      <formula>"AL1"</formula>
    </cfRule>
    <cfRule type="cellIs" dxfId="70" priority="2" operator="equal">
      <formula>"Acar1"</formula>
    </cfRule>
    <cfRule type="cellIs" dxfId="69" priority="3" operator="equal">
      <formula>"AL2"</formula>
    </cfRule>
    <cfRule type="cellIs" dxfId="68" priority="4" operator="equal">
      <formula>"Acar2"</formula>
    </cfRule>
    <cfRule type="cellIs" dxfId="67" priority="5" operator="equal">
      <formula>"AL3"</formula>
    </cfRule>
    <cfRule type="cellIs" dxfId="66" priority="6" operator="equal">
      <formula>"Acar3"</formula>
    </cfRule>
    <cfRule type="cellIs" dxfId="65" priority="7" operator="equal">
      <formula>"AL4"</formula>
    </cfRule>
    <cfRule type="cellIs" dxfId="64" priority="8" operator="equal">
      <formula>"Acar4"</formula>
    </cfRule>
    <cfRule type="cellIs" dxfId="63" priority="9" operator="equal">
      <formula>"AL5"</formula>
    </cfRule>
    <cfRule type="cellIs" dxfId="62" priority="10" operator="equal">
      <formula>"Acar5"</formula>
    </cfRule>
    <cfRule type="cellIs" dxfId="61" priority="11" operator="equal">
      <formula>"AL6"</formula>
    </cfRule>
    <cfRule type="cellIs" dxfId="60" priority="12" operator="equal">
      <formula>"Acar6"</formula>
    </cfRule>
  </conditionalFormatting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251C8C54-8E3C-46A1-975E-56B2FE249F6D}">
          <x14:formula1>
            <xm:f>List!$F$2:$F$19</xm:f>
          </x14:formula1>
          <xm:sqref>B13:AW18 B3:AW8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4376DE-AC55-4917-8556-BBC575F893AD}">
  <dimension ref="A1:AW22"/>
  <sheetViews>
    <sheetView zoomScale="85" zoomScaleNormal="85" workbookViewId="0">
      <pane xSplit="1" ySplit="2" topLeftCell="B3" activePane="bottomRight" state="frozen"/>
      <selection pane="topRight" activeCell="C1" sqref="C1"/>
      <selection pane="bottomLeft" activeCell="A6" sqref="A6"/>
      <selection pane="bottomRight" activeCell="R48" sqref="R48"/>
    </sheetView>
  </sheetViews>
  <sheetFormatPr defaultRowHeight="15" x14ac:dyDescent="0.25"/>
  <cols>
    <col min="1" max="1" width="15.5703125" bestFit="1" customWidth="1"/>
    <col min="2" max="2" width="8.140625" bestFit="1" customWidth="1"/>
    <col min="3" max="3" width="7.7109375" bestFit="1" customWidth="1"/>
    <col min="4" max="6" width="8.140625" bestFit="1" customWidth="1"/>
    <col min="7" max="7" width="7.7109375" bestFit="1" customWidth="1"/>
    <col min="8" max="10" width="8.140625" bestFit="1" customWidth="1"/>
    <col min="11" max="11" width="7.7109375" bestFit="1" customWidth="1"/>
    <col min="12" max="13" width="8.140625" bestFit="1" customWidth="1"/>
    <col min="14" max="14" width="7.7109375" bestFit="1" customWidth="1"/>
    <col min="15" max="15" width="7.28515625" bestFit="1" customWidth="1"/>
    <col min="16" max="17" width="7.7109375" bestFit="1" customWidth="1"/>
    <col min="18" max="18" width="8.140625" bestFit="1" customWidth="1"/>
    <col min="19" max="19" width="7.7109375" bestFit="1" customWidth="1"/>
    <col min="20" max="22" width="8.140625" bestFit="1" customWidth="1"/>
    <col min="23" max="23" width="7.7109375" bestFit="1" customWidth="1"/>
    <col min="24" max="26" width="8.140625" bestFit="1" customWidth="1"/>
    <col min="27" max="27" width="7.7109375" bestFit="1" customWidth="1"/>
    <col min="28" max="30" width="8.140625" bestFit="1" customWidth="1"/>
    <col min="31" max="31" width="7.7109375" bestFit="1" customWidth="1"/>
    <col min="32" max="34" width="8.140625" bestFit="1" customWidth="1"/>
    <col min="35" max="35" width="7.7109375" bestFit="1" customWidth="1"/>
    <col min="36" max="38" width="8.140625" bestFit="1" customWidth="1"/>
    <col min="39" max="39" width="7.7109375" bestFit="1" customWidth="1"/>
    <col min="40" max="42" width="8.140625" bestFit="1" customWidth="1"/>
    <col min="43" max="43" width="7.7109375" bestFit="1" customWidth="1"/>
    <col min="44" max="46" width="8.140625" bestFit="1" customWidth="1"/>
    <col min="47" max="47" width="7.7109375" bestFit="1" customWidth="1"/>
    <col min="48" max="49" width="8.140625" bestFit="1" customWidth="1"/>
  </cols>
  <sheetData>
    <row r="1" spans="1:49" ht="15.75" thickBot="1" x14ac:dyDescent="0.3">
      <c r="A1" s="36" t="s">
        <v>0</v>
      </c>
      <c r="B1" s="1">
        <v>0.41666666666666669</v>
      </c>
      <c r="C1" s="2">
        <v>0.42708333333333331</v>
      </c>
      <c r="D1" s="2">
        <v>0.4375</v>
      </c>
      <c r="E1" s="2">
        <v>0.44791666666666702</v>
      </c>
      <c r="F1" s="1">
        <v>0.45833333333333298</v>
      </c>
      <c r="G1" s="2">
        <v>0.46875</v>
      </c>
      <c r="H1" s="2">
        <v>0.47916666666666602</v>
      </c>
      <c r="I1" s="3">
        <v>0.48958333333333298</v>
      </c>
      <c r="J1" s="1">
        <v>0.5</v>
      </c>
      <c r="K1" s="2">
        <v>0.51041666666666596</v>
      </c>
      <c r="L1" s="2">
        <v>0.52083333333333304</v>
      </c>
      <c r="M1" s="2">
        <v>0.53125</v>
      </c>
      <c r="N1" s="1">
        <v>0.54166666666666696</v>
      </c>
      <c r="O1" s="2">
        <v>0.55208333333333304</v>
      </c>
      <c r="P1" s="2">
        <v>0.5625</v>
      </c>
      <c r="Q1" s="2">
        <v>0.57291666666666596</v>
      </c>
      <c r="R1" s="1">
        <v>0.58333333333333304</v>
      </c>
      <c r="S1" s="2">
        <v>0.59375</v>
      </c>
      <c r="T1" s="2">
        <v>0.60416666666666596</v>
      </c>
      <c r="U1" s="2">
        <v>0.61458333333333304</v>
      </c>
      <c r="V1" s="1">
        <v>0.625</v>
      </c>
      <c r="W1" s="2">
        <v>0.63541666666666596</v>
      </c>
      <c r="X1" s="2">
        <v>0.64583333333333304</v>
      </c>
      <c r="Y1" s="2">
        <v>0.656249999999999</v>
      </c>
      <c r="Z1" s="1">
        <v>0.66666666666666596</v>
      </c>
      <c r="AA1" s="2">
        <v>0.67708333333333304</v>
      </c>
      <c r="AB1" s="2">
        <v>0.687499999999999</v>
      </c>
      <c r="AC1" s="2">
        <v>0.69791666666666596</v>
      </c>
      <c r="AD1" s="1">
        <v>0.70833333333333304</v>
      </c>
      <c r="AE1" s="2">
        <v>0.718749999999999</v>
      </c>
      <c r="AF1" s="2">
        <v>0.72916666666666596</v>
      </c>
      <c r="AG1" s="2">
        <v>0.73958333333333304</v>
      </c>
      <c r="AH1" s="1">
        <v>0.749999999999999</v>
      </c>
      <c r="AI1" s="2">
        <v>0.76041666666666596</v>
      </c>
      <c r="AJ1" s="2">
        <v>0.77083333333333204</v>
      </c>
      <c r="AK1" s="2">
        <v>0.781249999999999</v>
      </c>
      <c r="AL1" s="1">
        <v>0.79166666666666596</v>
      </c>
      <c r="AM1" s="2">
        <v>0.80208333333333204</v>
      </c>
      <c r="AN1" s="2">
        <v>0.812499999999999</v>
      </c>
      <c r="AO1" s="2">
        <v>0.82291666666666596</v>
      </c>
      <c r="AP1" s="1">
        <v>0.83333333333333204</v>
      </c>
      <c r="AQ1" s="2">
        <v>0.843749999999999</v>
      </c>
      <c r="AR1" s="2">
        <v>0.85416666666666496</v>
      </c>
      <c r="AS1" s="2">
        <v>0.86458333333333204</v>
      </c>
      <c r="AT1" s="1">
        <v>0.874999999999999</v>
      </c>
      <c r="AU1" s="2">
        <v>0.88541666666666496</v>
      </c>
      <c r="AV1" s="2">
        <v>0.89583333333333204</v>
      </c>
      <c r="AW1" s="3">
        <v>0.906249999999999</v>
      </c>
    </row>
    <row r="2" spans="1:49" ht="15.75" thickBot="1" x14ac:dyDescent="0.3">
      <c r="A2" s="44" t="s">
        <v>15</v>
      </c>
      <c r="B2" s="45"/>
      <c r="C2" s="45"/>
      <c r="D2" s="45"/>
      <c r="E2" s="45"/>
      <c r="F2" s="45"/>
      <c r="G2" s="45"/>
      <c r="H2" s="45"/>
      <c r="I2" s="45"/>
      <c r="J2" s="45"/>
      <c r="K2" s="45"/>
      <c r="L2" s="45"/>
      <c r="M2" s="45"/>
      <c r="N2" s="45"/>
      <c r="O2" s="45"/>
      <c r="P2" s="45"/>
      <c r="Q2" s="45"/>
      <c r="R2" s="45"/>
      <c r="S2" s="45"/>
      <c r="T2" s="45"/>
      <c r="U2" s="45"/>
      <c r="V2" s="45"/>
      <c r="W2" s="45"/>
      <c r="X2" s="45"/>
      <c r="Y2" s="45"/>
      <c r="Z2" s="45"/>
      <c r="AA2" s="45"/>
      <c r="AB2" s="45"/>
      <c r="AC2" s="45"/>
      <c r="AD2" s="45"/>
      <c r="AE2" s="45"/>
      <c r="AF2" s="45"/>
      <c r="AG2" s="45"/>
      <c r="AH2" s="45"/>
      <c r="AI2" s="45"/>
      <c r="AJ2" s="45"/>
      <c r="AK2" s="45"/>
      <c r="AL2" s="45"/>
      <c r="AM2" s="45"/>
      <c r="AN2" s="45"/>
      <c r="AO2" s="45"/>
      <c r="AP2" s="45"/>
      <c r="AQ2" s="45"/>
      <c r="AR2" s="45"/>
      <c r="AS2" s="45"/>
      <c r="AT2" s="45"/>
      <c r="AU2" s="45"/>
      <c r="AV2" s="45"/>
      <c r="AW2" s="46"/>
    </row>
    <row r="3" spans="1:49" x14ac:dyDescent="0.25">
      <c r="A3" s="7" t="s">
        <v>22</v>
      </c>
      <c r="B3" s="27" t="s">
        <v>22</v>
      </c>
      <c r="C3" s="28" t="s">
        <v>22</v>
      </c>
      <c r="D3" s="28" t="s">
        <v>22</v>
      </c>
      <c r="E3" s="28" t="s">
        <v>22</v>
      </c>
      <c r="F3" s="28" t="s">
        <v>22</v>
      </c>
      <c r="G3" s="28" t="s">
        <v>22</v>
      </c>
      <c r="H3" s="28" t="s">
        <v>3</v>
      </c>
      <c r="I3" s="28" t="s">
        <v>3</v>
      </c>
      <c r="J3" s="28" t="s">
        <v>22</v>
      </c>
      <c r="K3" s="28" t="s">
        <v>22</v>
      </c>
      <c r="L3" s="28" t="s">
        <v>22</v>
      </c>
      <c r="M3" s="28" t="s">
        <v>22</v>
      </c>
      <c r="N3" s="28" t="s">
        <v>22</v>
      </c>
      <c r="O3" s="28" t="s">
        <v>22</v>
      </c>
      <c r="P3" s="28" t="s">
        <v>22</v>
      </c>
      <c r="Q3" s="28" t="s">
        <v>22</v>
      </c>
      <c r="R3" s="28" t="s">
        <v>3</v>
      </c>
      <c r="S3" s="28" t="s">
        <v>3</v>
      </c>
      <c r="T3" s="28" t="s">
        <v>3</v>
      </c>
      <c r="U3" s="28" t="s">
        <v>22</v>
      </c>
      <c r="V3" s="28" t="s">
        <v>22</v>
      </c>
      <c r="W3" s="28" t="s">
        <v>22</v>
      </c>
      <c r="X3" s="28" t="s">
        <v>22</v>
      </c>
      <c r="Y3" s="28" t="s">
        <v>22</v>
      </c>
      <c r="Z3" s="28" t="s">
        <v>22</v>
      </c>
      <c r="AA3" s="28" t="s">
        <v>22</v>
      </c>
      <c r="AB3" s="28" t="s">
        <v>22</v>
      </c>
      <c r="AC3" s="28" t="s">
        <v>22</v>
      </c>
      <c r="AD3" s="28" t="s">
        <v>3</v>
      </c>
      <c r="AE3" s="28" t="s">
        <v>3</v>
      </c>
      <c r="AF3" s="28" t="s">
        <v>3</v>
      </c>
      <c r="AG3" s="28" t="s">
        <v>22</v>
      </c>
      <c r="AH3" s="28" t="s">
        <v>22</v>
      </c>
      <c r="AI3" s="28" t="s">
        <v>22</v>
      </c>
      <c r="AJ3" s="28" t="s">
        <v>22</v>
      </c>
      <c r="AK3" s="28" t="s">
        <v>22</v>
      </c>
      <c r="AL3" s="28" t="s">
        <v>22</v>
      </c>
      <c r="AM3" s="28" t="s">
        <v>22</v>
      </c>
      <c r="AN3" s="28" t="s">
        <v>22</v>
      </c>
      <c r="AO3" s="28" t="s">
        <v>22</v>
      </c>
      <c r="AP3" s="28" t="s">
        <v>22</v>
      </c>
      <c r="AQ3" s="28" t="s">
        <v>3</v>
      </c>
      <c r="AR3" s="28" t="s">
        <v>22</v>
      </c>
      <c r="AS3" s="28" t="s">
        <v>22</v>
      </c>
      <c r="AT3" s="28" t="s">
        <v>22</v>
      </c>
      <c r="AU3" s="28" t="s">
        <v>22</v>
      </c>
      <c r="AV3" s="28" t="s">
        <v>22</v>
      </c>
      <c r="AW3" s="29" t="s">
        <v>22</v>
      </c>
    </row>
    <row r="4" spans="1:49" x14ac:dyDescent="0.25">
      <c r="A4" s="8" t="s">
        <v>23</v>
      </c>
      <c r="B4" s="30" t="s">
        <v>23</v>
      </c>
      <c r="C4" s="26" t="s">
        <v>23</v>
      </c>
      <c r="D4" s="26" t="s">
        <v>23</v>
      </c>
      <c r="E4" s="26" t="s">
        <v>23</v>
      </c>
      <c r="F4" s="26" t="s">
        <v>23</v>
      </c>
      <c r="G4" s="26" t="s">
        <v>23</v>
      </c>
      <c r="H4" s="26" t="s">
        <v>3</v>
      </c>
      <c r="I4" s="26" t="s">
        <v>3</v>
      </c>
      <c r="J4" s="26" t="s">
        <v>23</v>
      </c>
      <c r="K4" s="26" t="s">
        <v>23</v>
      </c>
      <c r="L4" s="26" t="s">
        <v>23</v>
      </c>
      <c r="M4" s="26" t="s">
        <v>23</v>
      </c>
      <c r="N4" s="26" t="s">
        <v>23</v>
      </c>
      <c r="O4" s="26" t="s">
        <v>23</v>
      </c>
      <c r="P4" s="26" t="s">
        <v>23</v>
      </c>
      <c r="Q4" s="26" t="s">
        <v>23</v>
      </c>
      <c r="R4" s="26" t="s">
        <v>3</v>
      </c>
      <c r="S4" s="26" t="s">
        <v>3</v>
      </c>
      <c r="T4" s="26" t="s">
        <v>3</v>
      </c>
      <c r="U4" s="26" t="s">
        <v>23</v>
      </c>
      <c r="V4" s="26" t="s">
        <v>23</v>
      </c>
      <c r="W4" s="26" t="s">
        <v>23</v>
      </c>
      <c r="X4" s="26" t="s">
        <v>23</v>
      </c>
      <c r="Y4" s="26" t="s">
        <v>23</v>
      </c>
      <c r="Z4" s="26" t="s">
        <v>23</v>
      </c>
      <c r="AA4" s="26" t="s">
        <v>23</v>
      </c>
      <c r="AB4" s="26" t="s">
        <v>23</v>
      </c>
      <c r="AC4" s="26" t="s">
        <v>23</v>
      </c>
      <c r="AD4" s="26" t="s">
        <v>3</v>
      </c>
      <c r="AE4" s="26" t="s">
        <v>3</v>
      </c>
      <c r="AF4" s="26" t="s">
        <v>3</v>
      </c>
      <c r="AG4" s="26" t="s">
        <v>23</v>
      </c>
      <c r="AH4" s="26" t="s">
        <v>23</v>
      </c>
      <c r="AI4" s="26" t="s">
        <v>23</v>
      </c>
      <c r="AJ4" s="26" t="s">
        <v>23</v>
      </c>
      <c r="AK4" s="26" t="s">
        <v>23</v>
      </c>
      <c r="AL4" s="26" t="s">
        <v>23</v>
      </c>
      <c r="AM4" s="26" t="s">
        <v>23</v>
      </c>
      <c r="AN4" s="26" t="s">
        <v>23</v>
      </c>
      <c r="AO4" s="26" t="s">
        <v>23</v>
      </c>
      <c r="AP4" s="26" t="s">
        <v>23</v>
      </c>
      <c r="AQ4" s="26" t="s">
        <v>3</v>
      </c>
      <c r="AR4" s="26" t="s">
        <v>23</v>
      </c>
      <c r="AS4" s="26" t="s">
        <v>23</v>
      </c>
      <c r="AT4" s="26" t="s">
        <v>23</v>
      </c>
      <c r="AU4" s="26" t="s">
        <v>23</v>
      </c>
      <c r="AV4" s="26" t="s">
        <v>23</v>
      </c>
      <c r="AW4" s="31" t="s">
        <v>23</v>
      </c>
    </row>
    <row r="5" spans="1:49" x14ac:dyDescent="0.25">
      <c r="A5" s="8" t="s">
        <v>24</v>
      </c>
      <c r="B5" s="30" t="s">
        <v>24</v>
      </c>
      <c r="C5" s="26" t="s">
        <v>24</v>
      </c>
      <c r="D5" s="26" t="s">
        <v>24</v>
      </c>
      <c r="E5" s="26" t="s">
        <v>24</v>
      </c>
      <c r="F5" s="26" t="s">
        <v>24</v>
      </c>
      <c r="G5" s="26" t="s">
        <v>24</v>
      </c>
      <c r="H5" s="26" t="s">
        <v>24</v>
      </c>
      <c r="I5" s="26" t="s">
        <v>24</v>
      </c>
      <c r="J5" s="26" t="s">
        <v>3</v>
      </c>
      <c r="K5" s="26" t="s">
        <v>3</v>
      </c>
      <c r="L5" s="26" t="s">
        <v>24</v>
      </c>
      <c r="M5" s="26" t="s">
        <v>24</v>
      </c>
      <c r="N5" s="26" t="s">
        <v>24</v>
      </c>
      <c r="O5" s="26" t="s">
        <v>24</v>
      </c>
      <c r="P5" s="26" t="s">
        <v>24</v>
      </c>
      <c r="Q5" s="26" t="s">
        <v>24</v>
      </c>
      <c r="R5" s="26" t="s">
        <v>24</v>
      </c>
      <c r="S5" s="26" t="s">
        <v>24</v>
      </c>
      <c r="T5" s="26" t="s">
        <v>24</v>
      </c>
      <c r="U5" s="26" t="s">
        <v>3</v>
      </c>
      <c r="V5" s="26" t="s">
        <v>3</v>
      </c>
      <c r="W5" s="26" t="s">
        <v>3</v>
      </c>
      <c r="X5" s="26" t="s">
        <v>24</v>
      </c>
      <c r="Y5" s="26" t="s">
        <v>24</v>
      </c>
      <c r="Z5" s="26" t="s">
        <v>24</v>
      </c>
      <c r="AA5" s="26" t="s">
        <v>24</v>
      </c>
      <c r="AB5" s="26" t="s">
        <v>24</v>
      </c>
      <c r="AC5" s="26" t="s">
        <v>24</v>
      </c>
      <c r="AD5" s="26" t="s">
        <v>24</v>
      </c>
      <c r="AE5" s="26" t="s">
        <v>24</v>
      </c>
      <c r="AF5" s="26" t="s">
        <v>24</v>
      </c>
      <c r="AG5" s="26" t="s">
        <v>3</v>
      </c>
      <c r="AH5" s="26" t="s">
        <v>3</v>
      </c>
      <c r="AI5" s="26" t="s">
        <v>3</v>
      </c>
      <c r="AJ5" s="26" t="s">
        <v>24</v>
      </c>
      <c r="AK5" s="26" t="s">
        <v>24</v>
      </c>
      <c r="AL5" s="26" t="s">
        <v>24</v>
      </c>
      <c r="AM5" s="26" t="s">
        <v>24</v>
      </c>
      <c r="AN5" s="26" t="s">
        <v>24</v>
      </c>
      <c r="AO5" s="26" t="s">
        <v>24</v>
      </c>
      <c r="AP5" s="26" t="s">
        <v>24</v>
      </c>
      <c r="AQ5" s="26" t="s">
        <v>24</v>
      </c>
      <c r="AR5" s="26" t="s">
        <v>3</v>
      </c>
      <c r="AS5" s="26" t="s">
        <v>24</v>
      </c>
      <c r="AT5" s="26" t="s">
        <v>24</v>
      </c>
      <c r="AU5" s="26" t="s">
        <v>24</v>
      </c>
      <c r="AV5" s="26" t="s">
        <v>24</v>
      </c>
      <c r="AW5" s="31" t="s">
        <v>24</v>
      </c>
    </row>
    <row r="6" spans="1:49" x14ac:dyDescent="0.25">
      <c r="A6" s="8" t="s">
        <v>25</v>
      </c>
      <c r="B6" s="30" t="s">
        <v>25</v>
      </c>
      <c r="C6" s="26" t="s">
        <v>25</v>
      </c>
      <c r="D6" s="26" t="s">
        <v>25</v>
      </c>
      <c r="E6" s="26" t="s">
        <v>25</v>
      </c>
      <c r="F6" s="26" t="s">
        <v>25</v>
      </c>
      <c r="G6" s="26" t="s">
        <v>25</v>
      </c>
      <c r="H6" s="26" t="s">
        <v>25</v>
      </c>
      <c r="I6" s="26" t="s">
        <v>25</v>
      </c>
      <c r="J6" s="26" t="s">
        <v>3</v>
      </c>
      <c r="K6" s="26" t="s">
        <v>3</v>
      </c>
      <c r="L6" s="26" t="s">
        <v>25</v>
      </c>
      <c r="M6" s="26" t="s">
        <v>25</v>
      </c>
      <c r="N6" s="26" t="s">
        <v>25</v>
      </c>
      <c r="O6" s="26" t="s">
        <v>25</v>
      </c>
      <c r="P6" s="26" t="s">
        <v>25</v>
      </c>
      <c r="Q6" s="26" t="s">
        <v>25</v>
      </c>
      <c r="R6" s="26" t="s">
        <v>25</v>
      </c>
      <c r="S6" s="26" t="s">
        <v>25</v>
      </c>
      <c r="T6" s="26" t="s">
        <v>25</v>
      </c>
      <c r="U6" s="26" t="s">
        <v>3</v>
      </c>
      <c r="V6" s="26" t="s">
        <v>3</v>
      </c>
      <c r="W6" s="26" t="s">
        <v>3</v>
      </c>
      <c r="X6" s="26" t="s">
        <v>25</v>
      </c>
      <c r="Y6" s="26" t="s">
        <v>25</v>
      </c>
      <c r="Z6" s="26" t="s">
        <v>25</v>
      </c>
      <c r="AA6" s="26" t="s">
        <v>25</v>
      </c>
      <c r="AB6" s="26" t="s">
        <v>25</v>
      </c>
      <c r="AC6" s="26" t="s">
        <v>25</v>
      </c>
      <c r="AD6" s="26" t="s">
        <v>25</v>
      </c>
      <c r="AE6" s="26" t="s">
        <v>25</v>
      </c>
      <c r="AF6" s="26" t="s">
        <v>25</v>
      </c>
      <c r="AG6" s="26" t="s">
        <v>3</v>
      </c>
      <c r="AH6" s="26" t="s">
        <v>3</v>
      </c>
      <c r="AI6" s="26" t="s">
        <v>3</v>
      </c>
      <c r="AJ6" s="26" t="s">
        <v>25</v>
      </c>
      <c r="AK6" s="26" t="s">
        <v>25</v>
      </c>
      <c r="AL6" s="26" t="s">
        <v>25</v>
      </c>
      <c r="AM6" s="26" t="s">
        <v>25</v>
      </c>
      <c r="AN6" s="26" t="s">
        <v>25</v>
      </c>
      <c r="AO6" s="26" t="s">
        <v>25</v>
      </c>
      <c r="AP6" s="26" t="s">
        <v>25</v>
      </c>
      <c r="AQ6" s="26" t="s">
        <v>25</v>
      </c>
      <c r="AR6" s="26" t="s">
        <v>3</v>
      </c>
      <c r="AS6" s="26" t="s">
        <v>25</v>
      </c>
      <c r="AT6" s="26" t="s">
        <v>25</v>
      </c>
      <c r="AU6" s="26" t="s">
        <v>25</v>
      </c>
      <c r="AV6" s="26" t="s">
        <v>25</v>
      </c>
      <c r="AW6" s="31" t="s">
        <v>25</v>
      </c>
    </row>
    <row r="7" spans="1:49" x14ac:dyDescent="0.25">
      <c r="A7" s="8" t="s">
        <v>26</v>
      </c>
      <c r="B7" s="30" t="s">
        <v>26</v>
      </c>
      <c r="C7" s="26" t="s">
        <v>26</v>
      </c>
      <c r="D7" s="26" t="s">
        <v>26</v>
      </c>
      <c r="E7" s="26" t="s">
        <v>26</v>
      </c>
      <c r="F7" s="26" t="s">
        <v>26</v>
      </c>
      <c r="G7" s="26" t="s">
        <v>26</v>
      </c>
      <c r="H7" s="26" t="s">
        <v>26</v>
      </c>
      <c r="I7" s="26" t="s">
        <v>26</v>
      </c>
      <c r="J7" s="26" t="s">
        <v>26</v>
      </c>
      <c r="K7" s="26" t="s">
        <v>26</v>
      </c>
      <c r="L7" s="26" t="s">
        <v>3</v>
      </c>
      <c r="M7" s="26" t="s">
        <v>3</v>
      </c>
      <c r="N7" s="26" t="s">
        <v>26</v>
      </c>
      <c r="O7" s="26" t="s">
        <v>26</v>
      </c>
      <c r="P7" s="26" t="s">
        <v>26</v>
      </c>
      <c r="Q7" s="26" t="s">
        <v>26</v>
      </c>
      <c r="R7" s="26" t="s">
        <v>26</v>
      </c>
      <c r="S7" s="26" t="s">
        <v>26</v>
      </c>
      <c r="T7" s="26" t="s">
        <v>26</v>
      </c>
      <c r="U7" s="26" t="s">
        <v>26</v>
      </c>
      <c r="V7" s="26" t="s">
        <v>26</v>
      </c>
      <c r="W7" s="26" t="s">
        <v>26</v>
      </c>
      <c r="X7" s="26" t="s">
        <v>3</v>
      </c>
      <c r="Y7" s="26" t="s">
        <v>3</v>
      </c>
      <c r="Z7" s="26" t="s">
        <v>3</v>
      </c>
      <c r="AA7" s="26" t="s">
        <v>26</v>
      </c>
      <c r="AB7" s="26" t="s">
        <v>26</v>
      </c>
      <c r="AC7" s="26" t="s">
        <v>26</v>
      </c>
      <c r="AD7" s="26" t="s">
        <v>26</v>
      </c>
      <c r="AE7" s="26" t="s">
        <v>26</v>
      </c>
      <c r="AF7" s="26" t="s">
        <v>26</v>
      </c>
      <c r="AG7" s="26" t="s">
        <v>26</v>
      </c>
      <c r="AH7" s="26" t="s">
        <v>26</v>
      </c>
      <c r="AI7" s="26" t="s">
        <v>26</v>
      </c>
      <c r="AJ7" s="26" t="s">
        <v>3</v>
      </c>
      <c r="AK7" s="26" t="s">
        <v>3</v>
      </c>
      <c r="AL7" s="26" t="s">
        <v>3</v>
      </c>
      <c r="AM7" s="26" t="s">
        <v>26</v>
      </c>
      <c r="AN7" s="26" t="s">
        <v>26</v>
      </c>
      <c r="AO7" s="26" t="s">
        <v>26</v>
      </c>
      <c r="AP7" s="26" t="s">
        <v>26</v>
      </c>
      <c r="AQ7" s="26" t="s">
        <v>26</v>
      </c>
      <c r="AR7" s="26" t="s">
        <v>26</v>
      </c>
      <c r="AS7" s="26" t="s">
        <v>3</v>
      </c>
      <c r="AT7" s="26" t="s">
        <v>26</v>
      </c>
      <c r="AU7" s="26" t="s">
        <v>26</v>
      </c>
      <c r="AV7" s="26" t="s">
        <v>26</v>
      </c>
      <c r="AW7" s="31" t="s">
        <v>26</v>
      </c>
    </row>
    <row r="8" spans="1:49" ht="15.75" thickBot="1" x14ac:dyDescent="0.3">
      <c r="A8" s="8" t="s">
        <v>27</v>
      </c>
      <c r="B8" s="32" t="s">
        <v>27</v>
      </c>
      <c r="C8" s="33" t="s">
        <v>27</v>
      </c>
      <c r="D8" s="33" t="s">
        <v>27</v>
      </c>
      <c r="E8" s="33" t="s">
        <v>27</v>
      </c>
      <c r="F8" s="33" t="s">
        <v>27</v>
      </c>
      <c r="G8" s="33" t="s">
        <v>27</v>
      </c>
      <c r="H8" s="33" t="s">
        <v>27</v>
      </c>
      <c r="I8" s="33" t="s">
        <v>27</v>
      </c>
      <c r="J8" s="33" t="s">
        <v>27</v>
      </c>
      <c r="K8" s="33" t="s">
        <v>27</v>
      </c>
      <c r="L8" s="33" t="s">
        <v>3</v>
      </c>
      <c r="M8" s="33" t="s">
        <v>3</v>
      </c>
      <c r="N8" s="33" t="s">
        <v>27</v>
      </c>
      <c r="O8" s="33" t="s">
        <v>27</v>
      </c>
      <c r="P8" s="33" t="s">
        <v>27</v>
      </c>
      <c r="Q8" s="33" t="s">
        <v>27</v>
      </c>
      <c r="R8" s="33" t="s">
        <v>23</v>
      </c>
      <c r="S8" s="33" t="s">
        <v>23</v>
      </c>
      <c r="T8" s="33" t="s">
        <v>23</v>
      </c>
      <c r="U8" s="33" t="s">
        <v>25</v>
      </c>
      <c r="V8" s="33" t="s">
        <v>25</v>
      </c>
      <c r="W8" s="33" t="s">
        <v>25</v>
      </c>
      <c r="X8" s="33" t="s">
        <v>3</v>
      </c>
      <c r="Y8" s="33" t="s">
        <v>3</v>
      </c>
      <c r="Z8" s="33" t="s">
        <v>3</v>
      </c>
      <c r="AA8" s="33" t="s">
        <v>27</v>
      </c>
      <c r="AB8" s="33" t="s">
        <v>27</v>
      </c>
      <c r="AC8" s="33" t="s">
        <v>27</v>
      </c>
      <c r="AD8" s="33" t="s">
        <v>23</v>
      </c>
      <c r="AE8" s="33" t="s">
        <v>23</v>
      </c>
      <c r="AF8" s="33" t="s">
        <v>23</v>
      </c>
      <c r="AG8" s="33" t="s">
        <v>25</v>
      </c>
      <c r="AH8" s="33" t="s">
        <v>25</v>
      </c>
      <c r="AI8" s="33" t="s">
        <v>25</v>
      </c>
      <c r="AJ8" s="33" t="s">
        <v>3</v>
      </c>
      <c r="AK8" s="33" t="s">
        <v>3</v>
      </c>
      <c r="AL8" s="33" t="s">
        <v>3</v>
      </c>
      <c r="AM8" s="33" t="s">
        <v>27</v>
      </c>
      <c r="AN8" s="33" t="s">
        <v>27</v>
      </c>
      <c r="AO8" s="33" t="s">
        <v>27</v>
      </c>
      <c r="AP8" s="33" t="s">
        <v>27</v>
      </c>
      <c r="AQ8" s="33" t="s">
        <v>27</v>
      </c>
      <c r="AR8" s="33" t="s">
        <v>27</v>
      </c>
      <c r="AS8" s="33" t="s">
        <v>3</v>
      </c>
      <c r="AT8" s="33" t="s">
        <v>27</v>
      </c>
      <c r="AU8" s="33" t="s">
        <v>27</v>
      </c>
      <c r="AV8" s="33" t="s">
        <v>27</v>
      </c>
      <c r="AW8" s="34" t="s">
        <v>27</v>
      </c>
    </row>
    <row r="9" spans="1:49" ht="15.75" thickBot="1" x14ac:dyDescent="0.3">
      <c r="A9" s="35" t="s">
        <v>17</v>
      </c>
      <c r="B9" s="24">
        <f>SUM(COUNTIF(B3:B8,"=AL*"))</f>
        <v>6</v>
      </c>
      <c r="C9" s="24">
        <f t="shared" ref="C9:AW9" si="0">SUM(COUNTIF(C3:C8,"=AL*"))</f>
        <v>6</v>
      </c>
      <c r="D9" s="24">
        <f t="shared" si="0"/>
        <v>6</v>
      </c>
      <c r="E9" s="24">
        <f t="shared" si="0"/>
        <v>6</v>
      </c>
      <c r="F9" s="24">
        <f t="shared" si="0"/>
        <v>6</v>
      </c>
      <c r="G9" s="24">
        <f t="shared" si="0"/>
        <v>6</v>
      </c>
      <c r="H9" s="24">
        <f t="shared" si="0"/>
        <v>4</v>
      </c>
      <c r="I9" s="24">
        <f t="shared" si="0"/>
        <v>4</v>
      </c>
      <c r="J9" s="24">
        <f t="shared" si="0"/>
        <v>4</v>
      </c>
      <c r="K9" s="24">
        <f t="shared" si="0"/>
        <v>4</v>
      </c>
      <c r="L9" s="24">
        <f t="shared" si="0"/>
        <v>4</v>
      </c>
      <c r="M9" s="24">
        <f t="shared" si="0"/>
        <v>4</v>
      </c>
      <c r="N9" s="24">
        <f t="shared" si="0"/>
        <v>6</v>
      </c>
      <c r="O9" s="24">
        <f t="shared" si="0"/>
        <v>6</v>
      </c>
      <c r="P9" s="24">
        <f t="shared" si="0"/>
        <v>6</v>
      </c>
      <c r="Q9" s="24">
        <f t="shared" si="0"/>
        <v>6</v>
      </c>
      <c r="R9" s="24">
        <f t="shared" si="0"/>
        <v>4</v>
      </c>
      <c r="S9" s="24">
        <f t="shared" si="0"/>
        <v>4</v>
      </c>
      <c r="T9" s="24">
        <f t="shared" si="0"/>
        <v>4</v>
      </c>
      <c r="U9" s="24">
        <f t="shared" si="0"/>
        <v>4</v>
      </c>
      <c r="V9" s="24">
        <f t="shared" si="0"/>
        <v>4</v>
      </c>
      <c r="W9" s="24">
        <f t="shared" si="0"/>
        <v>4</v>
      </c>
      <c r="X9" s="24">
        <f t="shared" si="0"/>
        <v>4</v>
      </c>
      <c r="Y9" s="24">
        <f t="shared" si="0"/>
        <v>4</v>
      </c>
      <c r="Z9" s="24">
        <f t="shared" si="0"/>
        <v>4</v>
      </c>
      <c r="AA9" s="24">
        <f t="shared" si="0"/>
        <v>6</v>
      </c>
      <c r="AB9" s="24">
        <f t="shared" si="0"/>
        <v>6</v>
      </c>
      <c r="AC9" s="24">
        <f t="shared" si="0"/>
        <v>6</v>
      </c>
      <c r="AD9" s="24">
        <f t="shared" si="0"/>
        <v>4</v>
      </c>
      <c r="AE9" s="24">
        <f t="shared" si="0"/>
        <v>4</v>
      </c>
      <c r="AF9" s="24">
        <f t="shared" si="0"/>
        <v>4</v>
      </c>
      <c r="AG9" s="24">
        <f t="shared" si="0"/>
        <v>4</v>
      </c>
      <c r="AH9" s="24">
        <f t="shared" si="0"/>
        <v>4</v>
      </c>
      <c r="AI9" s="24">
        <f t="shared" si="0"/>
        <v>4</v>
      </c>
      <c r="AJ9" s="24">
        <f t="shared" si="0"/>
        <v>4</v>
      </c>
      <c r="AK9" s="24">
        <f t="shared" si="0"/>
        <v>4</v>
      </c>
      <c r="AL9" s="24">
        <f t="shared" si="0"/>
        <v>4</v>
      </c>
      <c r="AM9" s="24">
        <f t="shared" si="0"/>
        <v>6</v>
      </c>
      <c r="AN9" s="24">
        <f t="shared" si="0"/>
        <v>6</v>
      </c>
      <c r="AO9" s="24">
        <f t="shared" si="0"/>
        <v>6</v>
      </c>
      <c r="AP9" s="24">
        <f t="shared" si="0"/>
        <v>6</v>
      </c>
      <c r="AQ9" s="24">
        <f t="shared" si="0"/>
        <v>4</v>
      </c>
      <c r="AR9" s="24">
        <f t="shared" si="0"/>
        <v>4</v>
      </c>
      <c r="AS9" s="24">
        <f t="shared" si="0"/>
        <v>4</v>
      </c>
      <c r="AT9" s="24">
        <f t="shared" si="0"/>
        <v>6</v>
      </c>
      <c r="AU9" s="24">
        <f t="shared" si="0"/>
        <v>6</v>
      </c>
      <c r="AV9" s="24">
        <f t="shared" si="0"/>
        <v>6</v>
      </c>
      <c r="AW9" s="25">
        <f t="shared" si="0"/>
        <v>6</v>
      </c>
    </row>
    <row r="10" spans="1:49" ht="15.75" thickBot="1" x14ac:dyDescent="0.3">
      <c r="A10" s="35" t="s">
        <v>18</v>
      </c>
      <c r="B10" s="24">
        <f>SUM(COUNTIF(B3:B8,"=Acar*"))</f>
        <v>0</v>
      </c>
      <c r="C10" s="24">
        <f t="shared" ref="C10:AW10" si="1">SUM(COUNTIF(C3:C8,"=Acar*"))</f>
        <v>0</v>
      </c>
      <c r="D10" s="24">
        <f t="shared" si="1"/>
        <v>0</v>
      </c>
      <c r="E10" s="24">
        <f t="shared" si="1"/>
        <v>0</v>
      </c>
      <c r="F10" s="24">
        <f t="shared" si="1"/>
        <v>0</v>
      </c>
      <c r="G10" s="24">
        <f t="shared" si="1"/>
        <v>0</v>
      </c>
      <c r="H10" s="24">
        <f t="shared" si="1"/>
        <v>0</v>
      </c>
      <c r="I10" s="24">
        <f t="shared" si="1"/>
        <v>0</v>
      </c>
      <c r="J10" s="24">
        <f t="shared" si="1"/>
        <v>0</v>
      </c>
      <c r="K10" s="24">
        <f t="shared" si="1"/>
        <v>0</v>
      </c>
      <c r="L10" s="24">
        <f t="shared" si="1"/>
        <v>0</v>
      </c>
      <c r="M10" s="24">
        <f t="shared" si="1"/>
        <v>0</v>
      </c>
      <c r="N10" s="24">
        <f t="shared" si="1"/>
        <v>0</v>
      </c>
      <c r="O10" s="24">
        <f t="shared" si="1"/>
        <v>0</v>
      </c>
      <c r="P10" s="24">
        <f t="shared" si="1"/>
        <v>0</v>
      </c>
      <c r="Q10" s="24">
        <f t="shared" si="1"/>
        <v>0</v>
      </c>
      <c r="R10" s="24">
        <f t="shared" si="1"/>
        <v>0</v>
      </c>
      <c r="S10" s="24">
        <f t="shared" si="1"/>
        <v>0</v>
      </c>
      <c r="T10" s="24">
        <f t="shared" si="1"/>
        <v>0</v>
      </c>
      <c r="U10" s="24">
        <f t="shared" si="1"/>
        <v>0</v>
      </c>
      <c r="V10" s="24">
        <f t="shared" si="1"/>
        <v>0</v>
      </c>
      <c r="W10" s="24">
        <f t="shared" si="1"/>
        <v>0</v>
      </c>
      <c r="X10" s="24">
        <f t="shared" si="1"/>
        <v>0</v>
      </c>
      <c r="Y10" s="24">
        <f t="shared" si="1"/>
        <v>0</v>
      </c>
      <c r="Z10" s="24">
        <f t="shared" si="1"/>
        <v>0</v>
      </c>
      <c r="AA10" s="24">
        <f t="shared" si="1"/>
        <v>0</v>
      </c>
      <c r="AB10" s="24">
        <f t="shared" si="1"/>
        <v>0</v>
      </c>
      <c r="AC10" s="24">
        <f t="shared" si="1"/>
        <v>0</v>
      </c>
      <c r="AD10" s="24">
        <f t="shared" si="1"/>
        <v>0</v>
      </c>
      <c r="AE10" s="24">
        <f t="shared" si="1"/>
        <v>0</v>
      </c>
      <c r="AF10" s="24">
        <f t="shared" si="1"/>
        <v>0</v>
      </c>
      <c r="AG10" s="24">
        <f t="shared" si="1"/>
        <v>0</v>
      </c>
      <c r="AH10" s="24">
        <f t="shared" si="1"/>
        <v>0</v>
      </c>
      <c r="AI10" s="24">
        <f t="shared" si="1"/>
        <v>0</v>
      </c>
      <c r="AJ10" s="24">
        <f t="shared" si="1"/>
        <v>0</v>
      </c>
      <c r="AK10" s="24">
        <f t="shared" si="1"/>
        <v>0</v>
      </c>
      <c r="AL10" s="24">
        <f t="shared" si="1"/>
        <v>0</v>
      </c>
      <c r="AM10" s="24">
        <f t="shared" si="1"/>
        <v>0</v>
      </c>
      <c r="AN10" s="24">
        <f t="shared" si="1"/>
        <v>0</v>
      </c>
      <c r="AO10" s="24">
        <f t="shared" si="1"/>
        <v>0</v>
      </c>
      <c r="AP10" s="24">
        <f t="shared" si="1"/>
        <v>0</v>
      </c>
      <c r="AQ10" s="24">
        <f t="shared" si="1"/>
        <v>0</v>
      </c>
      <c r="AR10" s="24">
        <f t="shared" si="1"/>
        <v>0</v>
      </c>
      <c r="AS10" s="24">
        <f t="shared" si="1"/>
        <v>0</v>
      </c>
      <c r="AT10" s="24">
        <f t="shared" si="1"/>
        <v>0</v>
      </c>
      <c r="AU10" s="24">
        <f t="shared" si="1"/>
        <v>0</v>
      </c>
      <c r="AV10" s="24">
        <f t="shared" si="1"/>
        <v>0</v>
      </c>
      <c r="AW10" s="25">
        <f t="shared" si="1"/>
        <v>0</v>
      </c>
    </row>
    <row r="11" spans="1:49" ht="15.75" thickBot="1" x14ac:dyDescent="0.3">
      <c r="A11" s="35" t="s">
        <v>2</v>
      </c>
      <c r="B11" s="22" t="str">
        <f>IF(B10=0, CONCATENATE(B9), CONCATENATE(B9, ",",B10))</f>
        <v>6</v>
      </c>
      <c r="C11" s="22" t="str">
        <f t="shared" ref="C11:AW11" si="2">IF(C10=0, CONCATENATE(C9), CONCATENATE(C9, ",",C10))</f>
        <v>6</v>
      </c>
      <c r="D11" s="22" t="str">
        <f t="shared" si="2"/>
        <v>6</v>
      </c>
      <c r="E11" s="22" t="str">
        <f t="shared" si="2"/>
        <v>6</v>
      </c>
      <c r="F11" s="22" t="str">
        <f t="shared" si="2"/>
        <v>6</v>
      </c>
      <c r="G11" s="22" t="str">
        <f t="shared" si="2"/>
        <v>6</v>
      </c>
      <c r="H11" s="22" t="str">
        <f t="shared" si="2"/>
        <v>4</v>
      </c>
      <c r="I11" s="22" t="str">
        <f t="shared" si="2"/>
        <v>4</v>
      </c>
      <c r="J11" s="22" t="str">
        <f t="shared" si="2"/>
        <v>4</v>
      </c>
      <c r="K11" s="22" t="str">
        <f t="shared" si="2"/>
        <v>4</v>
      </c>
      <c r="L11" s="22" t="str">
        <f t="shared" si="2"/>
        <v>4</v>
      </c>
      <c r="M11" s="22" t="str">
        <f t="shared" si="2"/>
        <v>4</v>
      </c>
      <c r="N11" s="22" t="str">
        <f t="shared" si="2"/>
        <v>6</v>
      </c>
      <c r="O11" s="22" t="str">
        <f t="shared" si="2"/>
        <v>6</v>
      </c>
      <c r="P11" s="22" t="str">
        <f t="shared" si="2"/>
        <v>6</v>
      </c>
      <c r="Q11" s="22" t="str">
        <f t="shared" si="2"/>
        <v>6</v>
      </c>
      <c r="R11" s="22" t="str">
        <f t="shared" si="2"/>
        <v>4</v>
      </c>
      <c r="S11" s="22" t="str">
        <f t="shared" si="2"/>
        <v>4</v>
      </c>
      <c r="T11" s="22" t="str">
        <f t="shared" si="2"/>
        <v>4</v>
      </c>
      <c r="U11" s="22" t="str">
        <f t="shared" si="2"/>
        <v>4</v>
      </c>
      <c r="V11" s="22" t="str">
        <f t="shared" si="2"/>
        <v>4</v>
      </c>
      <c r="W11" s="22" t="str">
        <f t="shared" si="2"/>
        <v>4</v>
      </c>
      <c r="X11" s="22" t="str">
        <f t="shared" si="2"/>
        <v>4</v>
      </c>
      <c r="Y11" s="22" t="str">
        <f t="shared" si="2"/>
        <v>4</v>
      </c>
      <c r="Z11" s="22" t="str">
        <f t="shared" si="2"/>
        <v>4</v>
      </c>
      <c r="AA11" s="22" t="str">
        <f t="shared" si="2"/>
        <v>6</v>
      </c>
      <c r="AB11" s="22" t="str">
        <f t="shared" si="2"/>
        <v>6</v>
      </c>
      <c r="AC11" s="22" t="str">
        <f t="shared" si="2"/>
        <v>6</v>
      </c>
      <c r="AD11" s="22" t="str">
        <f t="shared" si="2"/>
        <v>4</v>
      </c>
      <c r="AE11" s="22" t="str">
        <f t="shared" si="2"/>
        <v>4</v>
      </c>
      <c r="AF11" s="22" t="str">
        <f t="shared" si="2"/>
        <v>4</v>
      </c>
      <c r="AG11" s="22" t="str">
        <f t="shared" si="2"/>
        <v>4</v>
      </c>
      <c r="AH11" s="22" t="str">
        <f t="shared" si="2"/>
        <v>4</v>
      </c>
      <c r="AI11" s="22" t="str">
        <f t="shared" si="2"/>
        <v>4</v>
      </c>
      <c r="AJ11" s="22" t="str">
        <f t="shared" si="2"/>
        <v>4</v>
      </c>
      <c r="AK11" s="22" t="str">
        <f t="shared" si="2"/>
        <v>4</v>
      </c>
      <c r="AL11" s="22" t="str">
        <f t="shared" si="2"/>
        <v>4</v>
      </c>
      <c r="AM11" s="22" t="str">
        <f t="shared" si="2"/>
        <v>6</v>
      </c>
      <c r="AN11" s="22" t="str">
        <f t="shared" si="2"/>
        <v>6</v>
      </c>
      <c r="AO11" s="22" t="str">
        <f t="shared" si="2"/>
        <v>6</v>
      </c>
      <c r="AP11" s="22" t="str">
        <f t="shared" si="2"/>
        <v>6</v>
      </c>
      <c r="AQ11" s="22" t="str">
        <f t="shared" si="2"/>
        <v>4</v>
      </c>
      <c r="AR11" s="22" t="str">
        <f t="shared" si="2"/>
        <v>4</v>
      </c>
      <c r="AS11" s="22" t="str">
        <f t="shared" si="2"/>
        <v>4</v>
      </c>
      <c r="AT11" s="22" t="str">
        <f t="shared" si="2"/>
        <v>6</v>
      </c>
      <c r="AU11" s="22" t="str">
        <f t="shared" si="2"/>
        <v>6</v>
      </c>
      <c r="AV11" s="22" t="str">
        <f t="shared" si="2"/>
        <v>6</v>
      </c>
      <c r="AW11" s="23" t="str">
        <f t="shared" si="2"/>
        <v>6</v>
      </c>
    </row>
    <row r="12" spans="1:49" ht="15.75" thickBot="1" x14ac:dyDescent="0.3">
      <c r="A12" s="44" t="s">
        <v>4</v>
      </c>
      <c r="B12" s="45"/>
      <c r="C12" s="45"/>
      <c r="D12" s="45"/>
      <c r="E12" s="45"/>
      <c r="F12" s="45"/>
      <c r="G12" s="45"/>
      <c r="H12" s="45"/>
      <c r="I12" s="45"/>
      <c r="J12" s="45"/>
      <c r="K12" s="45"/>
      <c r="L12" s="45"/>
      <c r="M12" s="45"/>
      <c r="N12" s="45"/>
      <c r="O12" s="45"/>
      <c r="P12" s="45"/>
      <c r="Q12" s="45"/>
      <c r="R12" s="45"/>
      <c r="S12" s="45"/>
      <c r="T12" s="45"/>
      <c r="U12" s="45"/>
      <c r="V12" s="45"/>
      <c r="W12" s="45"/>
      <c r="X12" s="45"/>
      <c r="Y12" s="45"/>
      <c r="Z12" s="45"/>
      <c r="AA12" s="45"/>
      <c r="AB12" s="45"/>
      <c r="AC12" s="45"/>
      <c r="AD12" s="45"/>
      <c r="AE12" s="45"/>
      <c r="AF12" s="45"/>
      <c r="AG12" s="45"/>
      <c r="AH12" s="45"/>
      <c r="AI12" s="45"/>
      <c r="AJ12" s="45"/>
      <c r="AK12" s="45"/>
      <c r="AL12" s="45"/>
      <c r="AM12" s="45"/>
      <c r="AN12" s="45"/>
      <c r="AO12" s="45"/>
      <c r="AP12" s="45"/>
      <c r="AQ12" s="45"/>
      <c r="AR12" s="45"/>
      <c r="AS12" s="45"/>
      <c r="AT12" s="45"/>
      <c r="AU12" s="45"/>
      <c r="AV12" s="45"/>
      <c r="AW12" s="46"/>
    </row>
    <row r="13" spans="1:49" x14ac:dyDescent="0.25">
      <c r="A13" s="7" t="s">
        <v>6</v>
      </c>
      <c r="B13" s="27"/>
      <c r="C13" s="28"/>
      <c r="D13" s="28"/>
      <c r="E13" s="28"/>
      <c r="F13" s="28"/>
      <c r="G13" s="28"/>
      <c r="H13" s="28" t="s">
        <v>22</v>
      </c>
      <c r="I13" s="28" t="s">
        <v>22</v>
      </c>
      <c r="J13" s="28" t="s">
        <v>24</v>
      </c>
      <c r="K13" s="28" t="s">
        <v>24</v>
      </c>
      <c r="L13" s="28" t="s">
        <v>26</v>
      </c>
      <c r="M13" s="28" t="s">
        <v>26</v>
      </c>
      <c r="N13" s="28"/>
      <c r="O13" s="28"/>
      <c r="P13" s="28"/>
      <c r="Q13" s="28"/>
      <c r="R13" s="28" t="s">
        <v>22</v>
      </c>
      <c r="S13" s="28" t="s">
        <v>22</v>
      </c>
      <c r="T13" s="28" t="s">
        <v>22</v>
      </c>
      <c r="U13" s="28" t="s">
        <v>24</v>
      </c>
      <c r="V13" s="28" t="s">
        <v>24</v>
      </c>
      <c r="W13" s="28" t="s">
        <v>24</v>
      </c>
      <c r="X13" s="28" t="s">
        <v>26</v>
      </c>
      <c r="Y13" s="28" t="s">
        <v>26</v>
      </c>
      <c r="Z13" s="28" t="s">
        <v>26</v>
      </c>
      <c r="AA13" s="28"/>
      <c r="AB13" s="28"/>
      <c r="AC13" s="28"/>
      <c r="AD13" s="28" t="s">
        <v>22</v>
      </c>
      <c r="AE13" s="28" t="s">
        <v>22</v>
      </c>
      <c r="AF13" s="28" t="s">
        <v>22</v>
      </c>
      <c r="AG13" s="28" t="s">
        <v>24</v>
      </c>
      <c r="AH13" s="28" t="s">
        <v>24</v>
      </c>
      <c r="AI13" s="28" t="s">
        <v>24</v>
      </c>
      <c r="AJ13" s="28" t="s">
        <v>26</v>
      </c>
      <c r="AK13" s="28" t="s">
        <v>26</v>
      </c>
      <c r="AL13" s="28" t="s">
        <v>26</v>
      </c>
      <c r="AM13" s="28"/>
      <c r="AN13" s="28"/>
      <c r="AO13" s="28"/>
      <c r="AP13" s="28"/>
      <c r="AQ13" s="28" t="s">
        <v>22</v>
      </c>
      <c r="AR13" s="28" t="s">
        <v>24</v>
      </c>
      <c r="AS13" s="28" t="s">
        <v>26</v>
      </c>
      <c r="AT13" s="28"/>
      <c r="AU13" s="28"/>
      <c r="AV13" s="28"/>
      <c r="AW13" s="29"/>
    </row>
    <row r="14" spans="1:49" x14ac:dyDescent="0.25">
      <c r="A14" s="8" t="s">
        <v>6</v>
      </c>
      <c r="B14" s="30"/>
      <c r="C14" s="26"/>
      <c r="D14" s="26"/>
      <c r="E14" s="26"/>
      <c r="F14" s="26"/>
      <c r="G14" s="26"/>
      <c r="H14" s="26" t="s">
        <v>23</v>
      </c>
      <c r="I14" s="26" t="s">
        <v>23</v>
      </c>
      <c r="J14" s="26" t="s">
        <v>25</v>
      </c>
      <c r="K14" s="26" t="s">
        <v>25</v>
      </c>
      <c r="L14" s="26" t="s">
        <v>27</v>
      </c>
      <c r="M14" s="26" t="s">
        <v>27</v>
      </c>
      <c r="N14" s="26"/>
      <c r="O14" s="26"/>
      <c r="P14" s="26"/>
      <c r="Q14" s="26"/>
      <c r="R14" s="26"/>
      <c r="S14" s="26"/>
      <c r="T14" s="26"/>
      <c r="U14" s="26"/>
      <c r="V14" s="26"/>
      <c r="W14" s="26"/>
      <c r="X14" s="26"/>
      <c r="Y14" s="26"/>
      <c r="Z14" s="26"/>
      <c r="AA14" s="26"/>
      <c r="AB14" s="26"/>
      <c r="AC14" s="26"/>
      <c r="AD14" s="26"/>
      <c r="AE14" s="26"/>
      <c r="AF14" s="26"/>
      <c r="AG14" s="26"/>
      <c r="AH14" s="26"/>
      <c r="AI14" s="26"/>
      <c r="AJ14" s="26"/>
      <c r="AK14" s="26"/>
      <c r="AL14" s="26"/>
      <c r="AM14" s="26"/>
      <c r="AN14" s="26"/>
      <c r="AO14" s="26"/>
      <c r="AP14" s="26"/>
      <c r="AQ14" s="26" t="s">
        <v>23</v>
      </c>
      <c r="AR14" s="26" t="s">
        <v>25</v>
      </c>
      <c r="AS14" s="26" t="s">
        <v>27</v>
      </c>
      <c r="AT14" s="26"/>
      <c r="AU14" s="26"/>
      <c r="AV14" s="26"/>
      <c r="AW14" s="31"/>
    </row>
    <row r="15" spans="1:49" x14ac:dyDescent="0.25">
      <c r="A15" s="8"/>
      <c r="B15" s="30"/>
      <c r="C15" s="26"/>
      <c r="D15" s="26"/>
      <c r="E15" s="26"/>
      <c r="F15" s="26"/>
      <c r="G15" s="26"/>
      <c r="H15" s="26"/>
      <c r="I15" s="26"/>
      <c r="J15" s="26"/>
      <c r="K15" s="26"/>
      <c r="L15" s="26"/>
      <c r="M15" s="26"/>
      <c r="N15" s="26"/>
      <c r="O15" s="26"/>
      <c r="P15" s="26"/>
      <c r="Q15" s="26"/>
      <c r="R15" s="26"/>
      <c r="S15" s="26"/>
      <c r="T15" s="26"/>
      <c r="U15" s="26"/>
      <c r="V15" s="26"/>
      <c r="W15" s="26"/>
      <c r="X15" s="26"/>
      <c r="Y15" s="26"/>
      <c r="Z15" s="26"/>
      <c r="AA15" s="26"/>
      <c r="AB15" s="26"/>
      <c r="AC15" s="26"/>
      <c r="AD15" s="26"/>
      <c r="AE15" s="26"/>
      <c r="AF15" s="26"/>
      <c r="AG15" s="26"/>
      <c r="AH15" s="26"/>
      <c r="AI15" s="26"/>
      <c r="AJ15" s="26"/>
      <c r="AK15" s="26"/>
      <c r="AL15" s="26"/>
      <c r="AM15" s="26"/>
      <c r="AN15" s="26"/>
      <c r="AO15" s="26"/>
      <c r="AP15" s="26"/>
      <c r="AQ15" s="26"/>
      <c r="AR15" s="26"/>
      <c r="AS15" s="26"/>
      <c r="AT15" s="26"/>
      <c r="AU15" s="26"/>
      <c r="AV15" s="26"/>
      <c r="AW15" s="31"/>
    </row>
    <row r="16" spans="1:49" x14ac:dyDescent="0.25">
      <c r="A16" s="8"/>
      <c r="B16" s="30"/>
      <c r="C16" s="26"/>
      <c r="D16" s="26"/>
      <c r="E16" s="26"/>
      <c r="F16" s="26"/>
      <c r="G16" s="26"/>
      <c r="H16" s="26"/>
      <c r="I16" s="26"/>
      <c r="J16" s="26"/>
      <c r="K16" s="26"/>
      <c r="L16" s="26"/>
      <c r="M16" s="26"/>
      <c r="N16" s="26"/>
      <c r="O16" s="26"/>
      <c r="P16" s="26"/>
      <c r="Q16" s="26"/>
      <c r="R16" s="26"/>
      <c r="S16" s="26"/>
      <c r="T16" s="26"/>
      <c r="U16" s="26"/>
      <c r="V16" s="26"/>
      <c r="W16" s="26"/>
      <c r="X16" s="26"/>
      <c r="Y16" s="26"/>
      <c r="Z16" s="26"/>
      <c r="AA16" s="26"/>
      <c r="AB16" s="26"/>
      <c r="AC16" s="26"/>
      <c r="AD16" s="26"/>
      <c r="AE16" s="26"/>
      <c r="AF16" s="26"/>
      <c r="AG16" s="26"/>
      <c r="AH16" s="26"/>
      <c r="AI16" s="26"/>
      <c r="AJ16" s="26"/>
      <c r="AK16" s="26"/>
      <c r="AL16" s="26"/>
      <c r="AM16" s="26"/>
      <c r="AN16" s="26"/>
      <c r="AO16" s="26"/>
      <c r="AP16" s="26"/>
      <c r="AQ16" s="26"/>
      <c r="AR16" s="26"/>
      <c r="AS16" s="26"/>
      <c r="AT16" s="26"/>
      <c r="AU16" s="26"/>
      <c r="AV16" s="26"/>
      <c r="AW16" s="31"/>
    </row>
    <row r="17" spans="1:49" x14ac:dyDescent="0.25">
      <c r="A17" s="8"/>
      <c r="B17" s="30"/>
      <c r="C17" s="26"/>
      <c r="D17" s="26"/>
      <c r="E17" s="26"/>
      <c r="F17" s="26"/>
      <c r="G17" s="26"/>
      <c r="H17" s="26"/>
      <c r="I17" s="26"/>
      <c r="J17" s="26"/>
      <c r="K17" s="26"/>
      <c r="L17" s="26"/>
      <c r="M17" s="26"/>
      <c r="N17" s="26"/>
      <c r="O17" s="26"/>
      <c r="P17" s="26"/>
      <c r="Q17" s="26"/>
      <c r="R17" s="26"/>
      <c r="S17" s="26"/>
      <c r="T17" s="26"/>
      <c r="U17" s="26"/>
      <c r="V17" s="26"/>
      <c r="W17" s="26"/>
      <c r="X17" s="26"/>
      <c r="Y17" s="26"/>
      <c r="Z17" s="26"/>
      <c r="AA17" s="26"/>
      <c r="AB17" s="26"/>
      <c r="AC17" s="26"/>
      <c r="AD17" s="26"/>
      <c r="AE17" s="26"/>
      <c r="AF17" s="26"/>
      <c r="AG17" s="26"/>
      <c r="AH17" s="26"/>
      <c r="AI17" s="26"/>
      <c r="AJ17" s="26"/>
      <c r="AK17" s="26"/>
      <c r="AL17" s="26"/>
      <c r="AM17" s="26"/>
      <c r="AN17" s="26"/>
      <c r="AO17" s="26"/>
      <c r="AP17" s="26"/>
      <c r="AQ17" s="26"/>
      <c r="AR17" s="26"/>
      <c r="AS17" s="26"/>
      <c r="AT17" s="26"/>
      <c r="AU17" s="26"/>
      <c r="AV17" s="26"/>
      <c r="AW17" s="31"/>
    </row>
    <row r="18" spans="1:49" ht="15.75" thickBot="1" x14ac:dyDescent="0.3">
      <c r="A18" s="9"/>
      <c r="B18" s="32"/>
      <c r="C18" s="33"/>
      <c r="D18" s="33"/>
      <c r="E18" s="33"/>
      <c r="F18" s="33"/>
      <c r="G18" s="33"/>
      <c r="H18" s="33"/>
      <c r="I18" s="33"/>
      <c r="J18" s="33"/>
      <c r="K18" s="33"/>
      <c r="L18" s="33"/>
      <c r="M18" s="33"/>
      <c r="N18" s="33"/>
      <c r="O18" s="33"/>
      <c r="P18" s="33"/>
      <c r="Q18" s="33"/>
      <c r="R18" s="33"/>
      <c r="S18" s="33"/>
      <c r="T18" s="33"/>
      <c r="U18" s="33"/>
      <c r="V18" s="33"/>
      <c r="W18" s="33"/>
      <c r="X18" s="33"/>
      <c r="Y18" s="33"/>
      <c r="Z18" s="33"/>
      <c r="AA18" s="33"/>
      <c r="AB18" s="33"/>
      <c r="AC18" s="33"/>
      <c r="AD18" s="33"/>
      <c r="AE18" s="33"/>
      <c r="AF18" s="33"/>
      <c r="AG18" s="33"/>
      <c r="AH18" s="33"/>
      <c r="AI18" s="33"/>
      <c r="AJ18" s="33"/>
      <c r="AK18" s="33"/>
      <c r="AL18" s="33"/>
      <c r="AM18" s="33"/>
      <c r="AN18" s="33"/>
      <c r="AO18" s="33"/>
      <c r="AP18" s="33"/>
      <c r="AQ18" s="33"/>
      <c r="AR18" s="33"/>
      <c r="AS18" s="33"/>
      <c r="AT18" s="33"/>
      <c r="AU18" s="33"/>
      <c r="AV18" s="33"/>
      <c r="AW18" s="34"/>
    </row>
    <row r="19" spans="1:49" ht="15.75" thickBot="1" x14ac:dyDescent="0.3">
      <c r="A19" s="38" t="s">
        <v>17</v>
      </c>
      <c r="B19" s="24">
        <f>SUM(COUNTIF(B13:B18,"=AL*"))</f>
        <v>0</v>
      </c>
      <c r="C19" s="24">
        <f t="shared" ref="C19:AW19" si="3">SUM(COUNTIF(C13:C18,"=AL*"))</f>
        <v>0</v>
      </c>
      <c r="D19" s="24">
        <f t="shared" si="3"/>
        <v>0</v>
      </c>
      <c r="E19" s="24">
        <f t="shared" si="3"/>
        <v>0</v>
      </c>
      <c r="F19" s="24">
        <f t="shared" si="3"/>
        <v>0</v>
      </c>
      <c r="G19" s="24">
        <f t="shared" si="3"/>
        <v>0</v>
      </c>
      <c r="H19" s="24">
        <f t="shared" si="3"/>
        <v>2</v>
      </c>
      <c r="I19" s="24">
        <f t="shared" si="3"/>
        <v>2</v>
      </c>
      <c r="J19" s="24">
        <f t="shared" si="3"/>
        <v>2</v>
      </c>
      <c r="K19" s="24">
        <f t="shared" si="3"/>
        <v>2</v>
      </c>
      <c r="L19" s="24">
        <f t="shared" si="3"/>
        <v>2</v>
      </c>
      <c r="M19" s="24">
        <f t="shared" si="3"/>
        <v>2</v>
      </c>
      <c r="N19" s="24">
        <f t="shared" si="3"/>
        <v>0</v>
      </c>
      <c r="O19" s="24">
        <f t="shared" si="3"/>
        <v>0</v>
      </c>
      <c r="P19" s="24">
        <f t="shared" si="3"/>
        <v>0</v>
      </c>
      <c r="Q19" s="24">
        <f t="shared" si="3"/>
        <v>0</v>
      </c>
      <c r="R19" s="24">
        <f t="shared" si="3"/>
        <v>1</v>
      </c>
      <c r="S19" s="24">
        <f t="shared" si="3"/>
        <v>1</v>
      </c>
      <c r="T19" s="24">
        <f t="shared" si="3"/>
        <v>1</v>
      </c>
      <c r="U19" s="24">
        <f t="shared" si="3"/>
        <v>1</v>
      </c>
      <c r="V19" s="24">
        <f t="shared" si="3"/>
        <v>1</v>
      </c>
      <c r="W19" s="24">
        <f t="shared" si="3"/>
        <v>1</v>
      </c>
      <c r="X19" s="24">
        <f t="shared" si="3"/>
        <v>1</v>
      </c>
      <c r="Y19" s="24">
        <f t="shared" si="3"/>
        <v>1</v>
      </c>
      <c r="Z19" s="24">
        <f t="shared" si="3"/>
        <v>1</v>
      </c>
      <c r="AA19" s="24">
        <f t="shared" si="3"/>
        <v>0</v>
      </c>
      <c r="AB19" s="24">
        <f t="shared" si="3"/>
        <v>0</v>
      </c>
      <c r="AC19" s="24">
        <f t="shared" si="3"/>
        <v>0</v>
      </c>
      <c r="AD19" s="24">
        <f t="shared" si="3"/>
        <v>1</v>
      </c>
      <c r="AE19" s="24">
        <f t="shared" si="3"/>
        <v>1</v>
      </c>
      <c r="AF19" s="24">
        <f t="shared" si="3"/>
        <v>1</v>
      </c>
      <c r="AG19" s="24">
        <f t="shared" si="3"/>
        <v>1</v>
      </c>
      <c r="AH19" s="24">
        <f t="shared" si="3"/>
        <v>1</v>
      </c>
      <c r="AI19" s="24">
        <f t="shared" si="3"/>
        <v>1</v>
      </c>
      <c r="AJ19" s="24">
        <f t="shared" si="3"/>
        <v>1</v>
      </c>
      <c r="AK19" s="24">
        <f t="shared" si="3"/>
        <v>1</v>
      </c>
      <c r="AL19" s="24">
        <f t="shared" si="3"/>
        <v>1</v>
      </c>
      <c r="AM19" s="24">
        <f t="shared" si="3"/>
        <v>0</v>
      </c>
      <c r="AN19" s="24">
        <f t="shared" si="3"/>
        <v>0</v>
      </c>
      <c r="AO19" s="24">
        <f t="shared" si="3"/>
        <v>0</v>
      </c>
      <c r="AP19" s="24">
        <f t="shared" si="3"/>
        <v>0</v>
      </c>
      <c r="AQ19" s="24">
        <f t="shared" si="3"/>
        <v>2</v>
      </c>
      <c r="AR19" s="24">
        <f t="shared" si="3"/>
        <v>2</v>
      </c>
      <c r="AS19" s="24">
        <f t="shared" si="3"/>
        <v>2</v>
      </c>
      <c r="AT19" s="24">
        <f t="shared" si="3"/>
        <v>0</v>
      </c>
      <c r="AU19" s="24">
        <f t="shared" si="3"/>
        <v>0</v>
      </c>
      <c r="AV19" s="24">
        <f t="shared" si="3"/>
        <v>0</v>
      </c>
      <c r="AW19" s="25">
        <f t="shared" si="3"/>
        <v>0</v>
      </c>
    </row>
    <row r="20" spans="1:49" ht="15.75" thickBot="1" x14ac:dyDescent="0.3">
      <c r="A20" s="38" t="s">
        <v>18</v>
      </c>
      <c r="B20" s="24">
        <f>SUM(COUNTIF(B13:B18,"=Acar*"))</f>
        <v>0</v>
      </c>
      <c r="C20" s="24">
        <f t="shared" ref="C20:AW20" si="4">SUM(COUNTIF(C13:C18,"=Acar*"))</f>
        <v>0</v>
      </c>
      <c r="D20" s="24">
        <f t="shared" si="4"/>
        <v>0</v>
      </c>
      <c r="E20" s="24">
        <f t="shared" si="4"/>
        <v>0</v>
      </c>
      <c r="F20" s="24">
        <f t="shared" si="4"/>
        <v>0</v>
      </c>
      <c r="G20" s="24">
        <f t="shared" si="4"/>
        <v>0</v>
      </c>
      <c r="H20" s="24">
        <f t="shared" si="4"/>
        <v>0</v>
      </c>
      <c r="I20" s="24">
        <f t="shared" si="4"/>
        <v>0</v>
      </c>
      <c r="J20" s="24">
        <f t="shared" si="4"/>
        <v>0</v>
      </c>
      <c r="K20" s="24">
        <f t="shared" si="4"/>
        <v>0</v>
      </c>
      <c r="L20" s="24">
        <f t="shared" si="4"/>
        <v>0</v>
      </c>
      <c r="M20" s="24">
        <f t="shared" si="4"/>
        <v>0</v>
      </c>
      <c r="N20" s="24">
        <f t="shared" si="4"/>
        <v>0</v>
      </c>
      <c r="O20" s="24">
        <f t="shared" si="4"/>
        <v>0</v>
      </c>
      <c r="P20" s="24">
        <f t="shared" si="4"/>
        <v>0</v>
      </c>
      <c r="Q20" s="24">
        <f t="shared" si="4"/>
        <v>0</v>
      </c>
      <c r="R20" s="24">
        <f t="shared" si="4"/>
        <v>0</v>
      </c>
      <c r="S20" s="24">
        <f t="shared" si="4"/>
        <v>0</v>
      </c>
      <c r="T20" s="24">
        <f t="shared" si="4"/>
        <v>0</v>
      </c>
      <c r="U20" s="24">
        <f t="shared" si="4"/>
        <v>0</v>
      </c>
      <c r="V20" s="24">
        <f t="shared" si="4"/>
        <v>0</v>
      </c>
      <c r="W20" s="24">
        <f t="shared" si="4"/>
        <v>0</v>
      </c>
      <c r="X20" s="24">
        <f t="shared" si="4"/>
        <v>0</v>
      </c>
      <c r="Y20" s="24">
        <f t="shared" si="4"/>
        <v>0</v>
      </c>
      <c r="Z20" s="24">
        <f t="shared" si="4"/>
        <v>0</v>
      </c>
      <c r="AA20" s="24">
        <f t="shared" si="4"/>
        <v>0</v>
      </c>
      <c r="AB20" s="24">
        <f t="shared" si="4"/>
        <v>0</v>
      </c>
      <c r="AC20" s="24">
        <f t="shared" si="4"/>
        <v>0</v>
      </c>
      <c r="AD20" s="24">
        <f t="shared" si="4"/>
        <v>0</v>
      </c>
      <c r="AE20" s="24">
        <f t="shared" si="4"/>
        <v>0</v>
      </c>
      <c r="AF20" s="24">
        <f t="shared" si="4"/>
        <v>0</v>
      </c>
      <c r="AG20" s="24">
        <f t="shared" si="4"/>
        <v>0</v>
      </c>
      <c r="AH20" s="24">
        <f t="shared" si="4"/>
        <v>0</v>
      </c>
      <c r="AI20" s="24">
        <f t="shared" si="4"/>
        <v>0</v>
      </c>
      <c r="AJ20" s="24">
        <f t="shared" si="4"/>
        <v>0</v>
      </c>
      <c r="AK20" s="24">
        <f t="shared" si="4"/>
        <v>0</v>
      </c>
      <c r="AL20" s="24">
        <f t="shared" si="4"/>
        <v>0</v>
      </c>
      <c r="AM20" s="24">
        <f t="shared" si="4"/>
        <v>0</v>
      </c>
      <c r="AN20" s="24">
        <f t="shared" si="4"/>
        <v>0</v>
      </c>
      <c r="AO20" s="24">
        <f t="shared" si="4"/>
        <v>0</v>
      </c>
      <c r="AP20" s="24">
        <f t="shared" si="4"/>
        <v>0</v>
      </c>
      <c r="AQ20" s="24">
        <f t="shared" si="4"/>
        <v>0</v>
      </c>
      <c r="AR20" s="24">
        <f t="shared" si="4"/>
        <v>0</v>
      </c>
      <c r="AS20" s="24">
        <f t="shared" si="4"/>
        <v>0</v>
      </c>
      <c r="AT20" s="24">
        <f t="shared" si="4"/>
        <v>0</v>
      </c>
      <c r="AU20" s="24">
        <f t="shared" si="4"/>
        <v>0</v>
      </c>
      <c r="AV20" s="24">
        <f t="shared" si="4"/>
        <v>0</v>
      </c>
      <c r="AW20" s="25">
        <f t="shared" si="4"/>
        <v>0</v>
      </c>
    </row>
    <row r="21" spans="1:49" ht="15.75" thickBot="1" x14ac:dyDescent="0.3">
      <c r="A21" s="38" t="s">
        <v>2</v>
      </c>
      <c r="B21" s="22" t="str">
        <f>IF(B20=0, CONCATENATE(B19), CONCATENATE(B19, ",",B20))</f>
        <v>0</v>
      </c>
      <c r="C21" s="22" t="str">
        <f t="shared" ref="C21:AW21" si="5">IF(C20=0, CONCATENATE(C19), CONCATENATE(C19, ",",C20))</f>
        <v>0</v>
      </c>
      <c r="D21" s="22" t="str">
        <f t="shared" si="5"/>
        <v>0</v>
      </c>
      <c r="E21" s="22" t="str">
        <f t="shared" si="5"/>
        <v>0</v>
      </c>
      <c r="F21" s="22" t="str">
        <f t="shared" si="5"/>
        <v>0</v>
      </c>
      <c r="G21" s="22" t="str">
        <f t="shared" si="5"/>
        <v>0</v>
      </c>
      <c r="H21" s="22" t="str">
        <f t="shared" si="5"/>
        <v>2</v>
      </c>
      <c r="I21" s="22" t="str">
        <f t="shared" si="5"/>
        <v>2</v>
      </c>
      <c r="J21" s="22" t="str">
        <f t="shared" si="5"/>
        <v>2</v>
      </c>
      <c r="K21" s="22" t="str">
        <f t="shared" si="5"/>
        <v>2</v>
      </c>
      <c r="L21" s="22" t="str">
        <f t="shared" si="5"/>
        <v>2</v>
      </c>
      <c r="M21" s="22" t="str">
        <f t="shared" si="5"/>
        <v>2</v>
      </c>
      <c r="N21" s="22" t="str">
        <f t="shared" si="5"/>
        <v>0</v>
      </c>
      <c r="O21" s="22" t="str">
        <f t="shared" si="5"/>
        <v>0</v>
      </c>
      <c r="P21" s="22" t="str">
        <f t="shared" si="5"/>
        <v>0</v>
      </c>
      <c r="Q21" s="22" t="str">
        <f t="shared" si="5"/>
        <v>0</v>
      </c>
      <c r="R21" s="22" t="str">
        <f t="shared" si="5"/>
        <v>1</v>
      </c>
      <c r="S21" s="22" t="str">
        <f t="shared" si="5"/>
        <v>1</v>
      </c>
      <c r="T21" s="22" t="str">
        <f t="shared" si="5"/>
        <v>1</v>
      </c>
      <c r="U21" s="22" t="str">
        <f t="shared" si="5"/>
        <v>1</v>
      </c>
      <c r="V21" s="22" t="str">
        <f t="shared" si="5"/>
        <v>1</v>
      </c>
      <c r="W21" s="22" t="str">
        <f t="shared" si="5"/>
        <v>1</v>
      </c>
      <c r="X21" s="22" t="str">
        <f t="shared" si="5"/>
        <v>1</v>
      </c>
      <c r="Y21" s="22" t="str">
        <f t="shared" si="5"/>
        <v>1</v>
      </c>
      <c r="Z21" s="22" t="str">
        <f t="shared" si="5"/>
        <v>1</v>
      </c>
      <c r="AA21" s="22" t="str">
        <f t="shared" si="5"/>
        <v>0</v>
      </c>
      <c r="AB21" s="22" t="str">
        <f t="shared" si="5"/>
        <v>0</v>
      </c>
      <c r="AC21" s="22" t="str">
        <f t="shared" si="5"/>
        <v>0</v>
      </c>
      <c r="AD21" s="22" t="str">
        <f t="shared" si="5"/>
        <v>1</v>
      </c>
      <c r="AE21" s="22" t="str">
        <f t="shared" si="5"/>
        <v>1</v>
      </c>
      <c r="AF21" s="22" t="str">
        <f t="shared" si="5"/>
        <v>1</v>
      </c>
      <c r="AG21" s="22" t="str">
        <f t="shared" si="5"/>
        <v>1</v>
      </c>
      <c r="AH21" s="22" t="str">
        <f t="shared" si="5"/>
        <v>1</v>
      </c>
      <c r="AI21" s="22" t="str">
        <f t="shared" si="5"/>
        <v>1</v>
      </c>
      <c r="AJ21" s="22" t="str">
        <f t="shared" si="5"/>
        <v>1</v>
      </c>
      <c r="AK21" s="22" t="str">
        <f t="shared" si="5"/>
        <v>1</v>
      </c>
      <c r="AL21" s="22" t="str">
        <f t="shared" si="5"/>
        <v>1</v>
      </c>
      <c r="AM21" s="22" t="str">
        <f t="shared" si="5"/>
        <v>0</v>
      </c>
      <c r="AN21" s="22" t="str">
        <f t="shared" si="5"/>
        <v>0</v>
      </c>
      <c r="AO21" s="22" t="str">
        <f t="shared" si="5"/>
        <v>0</v>
      </c>
      <c r="AP21" s="22" t="str">
        <f t="shared" si="5"/>
        <v>0</v>
      </c>
      <c r="AQ21" s="22" t="str">
        <f t="shared" si="5"/>
        <v>2</v>
      </c>
      <c r="AR21" s="22" t="str">
        <f t="shared" si="5"/>
        <v>2</v>
      </c>
      <c r="AS21" s="22" t="str">
        <f t="shared" si="5"/>
        <v>2</v>
      </c>
      <c r="AT21" s="22" t="str">
        <f t="shared" si="5"/>
        <v>0</v>
      </c>
      <c r="AU21" s="22" t="str">
        <f t="shared" si="5"/>
        <v>0</v>
      </c>
      <c r="AV21" s="22" t="str">
        <f t="shared" si="5"/>
        <v>0</v>
      </c>
      <c r="AW21" s="23" t="str">
        <f t="shared" si="5"/>
        <v>0</v>
      </c>
    </row>
    <row r="22" spans="1:49" ht="15.75" thickBot="1" x14ac:dyDescent="0.3">
      <c r="A22" s="38" t="s">
        <v>19</v>
      </c>
      <c r="B22" s="19" t="str">
        <f>IF(SUM(B10,B20) = 0, CONCATENATE(SUM(B9+B19)), CONCATENATE(SUM(B9,B19), ",", SUM(B10,B20)))</f>
        <v>6</v>
      </c>
      <c r="C22" s="19" t="str">
        <f t="shared" ref="C22:AB22" si="6">IF(SUM(C10,C20) = 0, CONCATENATE(SUM(C9+C19)), CONCATENATE(SUM(C9,C19), ",", SUM(C10,C20)))</f>
        <v>6</v>
      </c>
      <c r="D22" s="19" t="str">
        <f t="shared" si="6"/>
        <v>6</v>
      </c>
      <c r="E22" s="19" t="str">
        <f t="shared" si="6"/>
        <v>6</v>
      </c>
      <c r="F22" s="19" t="str">
        <f t="shared" si="6"/>
        <v>6</v>
      </c>
      <c r="G22" s="19" t="str">
        <f t="shared" si="6"/>
        <v>6</v>
      </c>
      <c r="H22" s="19" t="str">
        <f t="shared" si="6"/>
        <v>6</v>
      </c>
      <c r="I22" s="19" t="str">
        <f t="shared" si="6"/>
        <v>6</v>
      </c>
      <c r="J22" s="19" t="str">
        <f t="shared" si="6"/>
        <v>6</v>
      </c>
      <c r="K22" s="19" t="str">
        <f t="shared" si="6"/>
        <v>6</v>
      </c>
      <c r="L22" s="19" t="str">
        <f t="shared" si="6"/>
        <v>6</v>
      </c>
      <c r="M22" s="19" t="str">
        <f t="shared" si="6"/>
        <v>6</v>
      </c>
      <c r="N22" s="19" t="str">
        <f t="shared" si="6"/>
        <v>6</v>
      </c>
      <c r="O22" s="19" t="str">
        <f t="shared" si="6"/>
        <v>6</v>
      </c>
      <c r="P22" s="19" t="str">
        <f t="shared" si="6"/>
        <v>6</v>
      </c>
      <c r="Q22" s="19" t="str">
        <f t="shared" si="6"/>
        <v>6</v>
      </c>
      <c r="R22" s="19" t="str">
        <f t="shared" si="6"/>
        <v>5</v>
      </c>
      <c r="S22" s="19" t="str">
        <f t="shared" si="6"/>
        <v>5</v>
      </c>
      <c r="T22" s="19" t="str">
        <f t="shared" si="6"/>
        <v>5</v>
      </c>
      <c r="U22" s="19" t="str">
        <f t="shared" si="6"/>
        <v>5</v>
      </c>
      <c r="V22" s="19" t="str">
        <f t="shared" si="6"/>
        <v>5</v>
      </c>
      <c r="W22" s="19" t="str">
        <f t="shared" si="6"/>
        <v>5</v>
      </c>
      <c r="X22" s="19" t="str">
        <f t="shared" si="6"/>
        <v>5</v>
      </c>
      <c r="Y22" s="19" t="str">
        <f t="shared" si="6"/>
        <v>5</v>
      </c>
      <c r="Z22" s="19" t="str">
        <f t="shared" si="6"/>
        <v>5</v>
      </c>
      <c r="AA22" s="19" t="str">
        <f t="shared" si="6"/>
        <v>6</v>
      </c>
      <c r="AB22" s="19" t="str">
        <f t="shared" si="6"/>
        <v>6</v>
      </c>
      <c r="AC22" s="19" t="str">
        <f t="shared" ref="AC22:AW22" si="7">IF(SUM(AC10,AC20) = 0, CONCATENATE(SUM(AC9+AC19)), CONCATENATE(SUM(AC9,AC19), ",", SUM(AC10,AC20)))</f>
        <v>6</v>
      </c>
      <c r="AD22" s="19" t="str">
        <f>IF(SUM(AA10,AA20) = 0, CONCATENATE(SUM(AA9+AA19)), CONCATENATE(SUM(AA9,AA19), ",", SUM(AA10,AA20)))</f>
        <v>6</v>
      </c>
      <c r="AE22" s="19" t="str">
        <f t="shared" si="7"/>
        <v>5</v>
      </c>
      <c r="AF22" s="19" t="str">
        <f t="shared" si="7"/>
        <v>5</v>
      </c>
      <c r="AG22" s="19" t="str">
        <f t="shared" si="7"/>
        <v>5</v>
      </c>
      <c r="AH22" s="19" t="str">
        <f t="shared" si="7"/>
        <v>5</v>
      </c>
      <c r="AI22" s="19" t="str">
        <f t="shared" si="7"/>
        <v>5</v>
      </c>
      <c r="AJ22" s="19" t="str">
        <f t="shared" si="7"/>
        <v>5</v>
      </c>
      <c r="AK22" s="19" t="str">
        <f t="shared" si="7"/>
        <v>5</v>
      </c>
      <c r="AL22" s="19" t="str">
        <f t="shared" si="7"/>
        <v>5</v>
      </c>
      <c r="AM22" s="19" t="str">
        <f t="shared" si="7"/>
        <v>6</v>
      </c>
      <c r="AN22" s="19" t="str">
        <f t="shared" si="7"/>
        <v>6</v>
      </c>
      <c r="AO22" s="19" t="str">
        <f t="shared" si="7"/>
        <v>6</v>
      </c>
      <c r="AP22" s="19" t="str">
        <f t="shared" si="7"/>
        <v>6</v>
      </c>
      <c r="AQ22" s="19" t="str">
        <f t="shared" si="7"/>
        <v>6</v>
      </c>
      <c r="AR22" s="19" t="str">
        <f t="shared" si="7"/>
        <v>6</v>
      </c>
      <c r="AS22" s="19" t="str">
        <f t="shared" si="7"/>
        <v>6</v>
      </c>
      <c r="AT22" s="19" t="str">
        <f t="shared" si="7"/>
        <v>6</v>
      </c>
      <c r="AU22" s="19" t="str">
        <f t="shared" si="7"/>
        <v>6</v>
      </c>
      <c r="AV22" s="19" t="str">
        <f t="shared" si="7"/>
        <v>6</v>
      </c>
      <c r="AW22" s="20" t="str">
        <f t="shared" si="7"/>
        <v>6</v>
      </c>
    </row>
  </sheetData>
  <mergeCells count="2">
    <mergeCell ref="A12:AW12"/>
    <mergeCell ref="A2:AW2"/>
  </mergeCells>
  <conditionalFormatting sqref="B3:AW10 B13:AW20">
    <cfRule type="cellIs" dxfId="59" priority="1" operator="equal">
      <formula>"AL1"</formula>
    </cfRule>
    <cfRule type="cellIs" dxfId="58" priority="2" operator="equal">
      <formula>"Acar1"</formula>
    </cfRule>
    <cfRule type="cellIs" dxfId="57" priority="3" operator="equal">
      <formula>"AL2"</formula>
    </cfRule>
    <cfRule type="cellIs" dxfId="56" priority="4" operator="equal">
      <formula>"Acar2"</formula>
    </cfRule>
    <cfRule type="cellIs" dxfId="55" priority="5" operator="equal">
      <formula>"AL3"</formula>
    </cfRule>
    <cfRule type="cellIs" dxfId="54" priority="6" operator="equal">
      <formula>"Acar3"</formula>
    </cfRule>
    <cfRule type="cellIs" dxfId="53" priority="7" operator="equal">
      <formula>"AL4"</formula>
    </cfRule>
    <cfRule type="cellIs" dxfId="52" priority="8" operator="equal">
      <formula>"Acar4"</formula>
    </cfRule>
    <cfRule type="cellIs" dxfId="51" priority="9" operator="equal">
      <formula>"AL5"</formula>
    </cfRule>
    <cfRule type="cellIs" dxfId="50" priority="10" operator="equal">
      <formula>"Acar5"</formula>
    </cfRule>
    <cfRule type="cellIs" dxfId="49" priority="11" operator="equal">
      <formula>"AL6"</formula>
    </cfRule>
    <cfRule type="cellIs" dxfId="48" priority="12" operator="equal">
      <formula>"Acar6"</formula>
    </cfRule>
  </conditionalFormatting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96F32EDE-B496-4621-B235-DCD4083D61B1}">
          <x14:formula1>
            <xm:f>List!$F$2:$F$19</xm:f>
          </x14:formula1>
          <xm:sqref>B13:AW18 B3:AW8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694CB3-F069-4273-B5C4-9B4EC4FB1CDD}">
  <dimension ref="A1:AW22"/>
  <sheetViews>
    <sheetView zoomScale="85" zoomScaleNormal="85" workbookViewId="0">
      <pane xSplit="1" ySplit="2" topLeftCell="B3" activePane="bottomRight" state="frozen"/>
      <selection pane="topRight" activeCell="C1" sqref="C1"/>
      <selection pane="bottomLeft" activeCell="A6" sqref="A6"/>
      <selection pane="bottomRight" activeCell="A15" sqref="A15"/>
    </sheetView>
  </sheetViews>
  <sheetFormatPr defaultRowHeight="15" x14ac:dyDescent="0.25"/>
  <cols>
    <col min="1" max="1" width="15.42578125" bestFit="1" customWidth="1"/>
    <col min="2" max="2" width="8.140625" bestFit="1" customWidth="1"/>
    <col min="3" max="3" width="7.7109375" bestFit="1" customWidth="1"/>
    <col min="4" max="6" width="8.140625" bestFit="1" customWidth="1"/>
    <col min="7" max="7" width="7.7109375" bestFit="1" customWidth="1"/>
    <col min="8" max="10" width="8.140625" bestFit="1" customWidth="1"/>
    <col min="11" max="11" width="7.7109375" bestFit="1" customWidth="1"/>
    <col min="12" max="13" width="8.140625" bestFit="1" customWidth="1"/>
    <col min="14" max="14" width="7.7109375" bestFit="1" customWidth="1"/>
    <col min="15" max="15" width="7.28515625" bestFit="1" customWidth="1"/>
    <col min="16" max="17" width="7.7109375" bestFit="1" customWidth="1"/>
    <col min="18" max="18" width="8.140625" bestFit="1" customWidth="1"/>
    <col min="19" max="19" width="7.7109375" bestFit="1" customWidth="1"/>
    <col min="20" max="22" width="8.140625" bestFit="1" customWidth="1"/>
    <col min="23" max="23" width="7.7109375" bestFit="1" customWidth="1"/>
    <col min="24" max="26" width="8.140625" bestFit="1" customWidth="1"/>
    <col min="27" max="27" width="7.7109375" bestFit="1" customWidth="1"/>
    <col min="28" max="30" width="8.140625" bestFit="1" customWidth="1"/>
    <col min="31" max="31" width="7.7109375" bestFit="1" customWidth="1"/>
    <col min="32" max="34" width="8.140625" bestFit="1" customWidth="1"/>
    <col min="35" max="35" width="7.7109375" bestFit="1" customWidth="1"/>
    <col min="36" max="38" width="8.140625" bestFit="1" customWidth="1"/>
    <col min="39" max="39" width="7.7109375" bestFit="1" customWidth="1"/>
    <col min="40" max="42" width="8.140625" bestFit="1" customWidth="1"/>
    <col min="43" max="43" width="7.7109375" bestFit="1" customWidth="1"/>
    <col min="44" max="46" width="8.140625" bestFit="1" customWidth="1"/>
    <col min="47" max="47" width="7.7109375" bestFit="1" customWidth="1"/>
    <col min="48" max="49" width="8.140625" bestFit="1" customWidth="1"/>
  </cols>
  <sheetData>
    <row r="1" spans="1:49" ht="15.75" thickBot="1" x14ac:dyDescent="0.3">
      <c r="A1" s="36" t="s">
        <v>0</v>
      </c>
      <c r="B1" s="1">
        <v>0.41666666666666669</v>
      </c>
      <c r="C1" s="2">
        <v>0.42708333333333331</v>
      </c>
      <c r="D1" s="2">
        <v>0.4375</v>
      </c>
      <c r="E1" s="2">
        <v>0.44791666666666702</v>
      </c>
      <c r="F1" s="1">
        <v>0.45833333333333298</v>
      </c>
      <c r="G1" s="2">
        <v>0.46875</v>
      </c>
      <c r="H1" s="2">
        <v>0.47916666666666602</v>
      </c>
      <c r="I1" s="3">
        <v>0.48958333333333298</v>
      </c>
      <c r="J1" s="1">
        <v>0.5</v>
      </c>
      <c r="K1" s="2">
        <v>0.51041666666666596</v>
      </c>
      <c r="L1" s="2">
        <v>0.52083333333333304</v>
      </c>
      <c r="M1" s="2">
        <v>0.53125</v>
      </c>
      <c r="N1" s="1">
        <v>0.54166666666666696</v>
      </c>
      <c r="O1" s="2">
        <v>0.55208333333333304</v>
      </c>
      <c r="P1" s="2">
        <v>0.5625</v>
      </c>
      <c r="Q1" s="2">
        <v>0.57291666666666596</v>
      </c>
      <c r="R1" s="1">
        <v>0.58333333333333304</v>
      </c>
      <c r="S1" s="2">
        <v>0.59375</v>
      </c>
      <c r="T1" s="2">
        <v>0.60416666666666596</v>
      </c>
      <c r="U1" s="2">
        <v>0.61458333333333304</v>
      </c>
      <c r="V1" s="1">
        <v>0.625</v>
      </c>
      <c r="W1" s="2">
        <v>0.63541666666666596</v>
      </c>
      <c r="X1" s="2">
        <v>0.64583333333333304</v>
      </c>
      <c r="Y1" s="2">
        <v>0.656249999999999</v>
      </c>
      <c r="Z1" s="1">
        <v>0.66666666666666596</v>
      </c>
      <c r="AA1" s="2">
        <v>0.67708333333333304</v>
      </c>
      <c r="AB1" s="2">
        <v>0.687499999999999</v>
      </c>
      <c r="AC1" s="2">
        <v>0.69791666666666596</v>
      </c>
      <c r="AD1" s="1">
        <v>0.70833333333333304</v>
      </c>
      <c r="AE1" s="2">
        <v>0.718749999999999</v>
      </c>
      <c r="AF1" s="2">
        <v>0.72916666666666596</v>
      </c>
      <c r="AG1" s="2">
        <v>0.73958333333333304</v>
      </c>
      <c r="AH1" s="1">
        <v>0.749999999999999</v>
      </c>
      <c r="AI1" s="2">
        <v>0.76041666666666596</v>
      </c>
      <c r="AJ1" s="2">
        <v>0.77083333333333204</v>
      </c>
      <c r="AK1" s="2">
        <v>0.781249999999999</v>
      </c>
      <c r="AL1" s="1">
        <v>0.79166666666666596</v>
      </c>
      <c r="AM1" s="2">
        <v>0.80208333333333204</v>
      </c>
      <c r="AN1" s="2">
        <v>0.812499999999999</v>
      </c>
      <c r="AO1" s="2">
        <v>0.82291666666666596</v>
      </c>
      <c r="AP1" s="1">
        <v>0.83333333333333204</v>
      </c>
      <c r="AQ1" s="2">
        <v>0.843749999999999</v>
      </c>
      <c r="AR1" s="2">
        <v>0.85416666666666496</v>
      </c>
      <c r="AS1" s="2">
        <v>0.86458333333333204</v>
      </c>
      <c r="AT1" s="1">
        <v>0.874999999999999</v>
      </c>
      <c r="AU1" s="2">
        <v>0.88541666666666496</v>
      </c>
      <c r="AV1" s="2">
        <v>0.89583333333333204</v>
      </c>
      <c r="AW1" s="3">
        <v>0.906249999999999</v>
      </c>
    </row>
    <row r="2" spans="1:49" ht="15.75" thickBot="1" x14ac:dyDescent="0.3">
      <c r="A2" s="44" t="s">
        <v>15</v>
      </c>
      <c r="B2" s="45"/>
      <c r="C2" s="45"/>
      <c r="D2" s="45"/>
      <c r="E2" s="45"/>
      <c r="F2" s="45"/>
      <c r="G2" s="45"/>
      <c r="H2" s="45"/>
      <c r="I2" s="45"/>
      <c r="J2" s="45"/>
      <c r="K2" s="45"/>
      <c r="L2" s="45"/>
      <c r="M2" s="45"/>
      <c r="N2" s="45"/>
      <c r="O2" s="45"/>
      <c r="P2" s="45"/>
      <c r="Q2" s="45"/>
      <c r="R2" s="45"/>
      <c r="S2" s="45"/>
      <c r="T2" s="45"/>
      <c r="U2" s="45"/>
      <c r="V2" s="45"/>
      <c r="W2" s="45"/>
      <c r="X2" s="45"/>
      <c r="Y2" s="45"/>
      <c r="Z2" s="45"/>
      <c r="AA2" s="45"/>
      <c r="AB2" s="45"/>
      <c r="AC2" s="45"/>
      <c r="AD2" s="45"/>
      <c r="AE2" s="45"/>
      <c r="AF2" s="45"/>
      <c r="AG2" s="45"/>
      <c r="AH2" s="45"/>
      <c r="AI2" s="45"/>
      <c r="AJ2" s="45"/>
      <c r="AK2" s="45"/>
      <c r="AL2" s="45"/>
      <c r="AM2" s="45"/>
      <c r="AN2" s="45"/>
      <c r="AO2" s="45"/>
      <c r="AP2" s="45"/>
      <c r="AQ2" s="45"/>
      <c r="AR2" s="45"/>
      <c r="AS2" s="45"/>
      <c r="AT2" s="45"/>
      <c r="AU2" s="45"/>
      <c r="AV2" s="45"/>
      <c r="AW2" s="46"/>
    </row>
    <row r="3" spans="1:49" x14ac:dyDescent="0.25">
      <c r="A3" s="7" t="s">
        <v>22</v>
      </c>
      <c r="B3" s="27" t="s">
        <v>22</v>
      </c>
      <c r="C3" s="28" t="s">
        <v>22</v>
      </c>
      <c r="D3" s="28" t="s">
        <v>22</v>
      </c>
      <c r="E3" s="28" t="s">
        <v>22</v>
      </c>
      <c r="F3" s="28" t="s">
        <v>22</v>
      </c>
      <c r="G3" s="28" t="s">
        <v>22</v>
      </c>
      <c r="H3" s="28" t="s">
        <v>3</v>
      </c>
      <c r="I3" s="28" t="s">
        <v>3</v>
      </c>
      <c r="J3" s="28" t="s">
        <v>22</v>
      </c>
      <c r="K3" s="28" t="s">
        <v>22</v>
      </c>
      <c r="L3" s="28" t="s">
        <v>22</v>
      </c>
      <c r="M3" s="28" t="s">
        <v>22</v>
      </c>
      <c r="N3" s="28" t="s">
        <v>22</v>
      </c>
      <c r="O3" s="28" t="s">
        <v>22</v>
      </c>
      <c r="P3" s="28" t="s">
        <v>22</v>
      </c>
      <c r="Q3" s="28" t="s">
        <v>22</v>
      </c>
      <c r="R3" s="28" t="s">
        <v>3</v>
      </c>
      <c r="S3" s="28" t="s">
        <v>3</v>
      </c>
      <c r="T3" s="28" t="s">
        <v>3</v>
      </c>
      <c r="U3" s="28" t="s">
        <v>22</v>
      </c>
      <c r="V3" s="28" t="s">
        <v>22</v>
      </c>
      <c r="W3" s="28" t="s">
        <v>22</v>
      </c>
      <c r="X3" s="28" t="s">
        <v>22</v>
      </c>
      <c r="Y3" s="28" t="s">
        <v>22</v>
      </c>
      <c r="Z3" s="28" t="s">
        <v>22</v>
      </c>
      <c r="AA3" s="28" t="s">
        <v>22</v>
      </c>
      <c r="AB3" s="28" t="s">
        <v>22</v>
      </c>
      <c r="AC3" s="28" t="s">
        <v>22</v>
      </c>
      <c r="AD3" s="28" t="s">
        <v>3</v>
      </c>
      <c r="AE3" s="28" t="s">
        <v>3</v>
      </c>
      <c r="AF3" s="28" t="s">
        <v>3</v>
      </c>
      <c r="AG3" s="28" t="s">
        <v>22</v>
      </c>
      <c r="AH3" s="28" t="s">
        <v>22</v>
      </c>
      <c r="AI3" s="28" t="s">
        <v>22</v>
      </c>
      <c r="AJ3" s="28" t="s">
        <v>22</v>
      </c>
      <c r="AK3" s="28" t="s">
        <v>22</v>
      </c>
      <c r="AL3" s="28" t="s">
        <v>22</v>
      </c>
      <c r="AM3" s="28" t="s">
        <v>22</v>
      </c>
      <c r="AN3" s="28" t="s">
        <v>22</v>
      </c>
      <c r="AO3" s="28" t="s">
        <v>22</v>
      </c>
      <c r="AP3" s="28" t="s">
        <v>22</v>
      </c>
      <c r="AQ3" s="28" t="s">
        <v>3</v>
      </c>
      <c r="AR3" s="28" t="s">
        <v>22</v>
      </c>
      <c r="AS3" s="28" t="s">
        <v>22</v>
      </c>
      <c r="AT3" s="28" t="s">
        <v>22</v>
      </c>
      <c r="AU3" s="28" t="s">
        <v>22</v>
      </c>
      <c r="AV3" s="28" t="s">
        <v>22</v>
      </c>
      <c r="AW3" s="29" t="s">
        <v>22</v>
      </c>
    </row>
    <row r="4" spans="1:49" x14ac:dyDescent="0.25">
      <c r="A4" s="8" t="s">
        <v>23</v>
      </c>
      <c r="B4" s="30" t="s">
        <v>23</v>
      </c>
      <c r="C4" s="26" t="s">
        <v>23</v>
      </c>
      <c r="D4" s="26" t="s">
        <v>23</v>
      </c>
      <c r="E4" s="26" t="s">
        <v>23</v>
      </c>
      <c r="F4" s="26" t="s">
        <v>23</v>
      </c>
      <c r="G4" s="26" t="s">
        <v>23</v>
      </c>
      <c r="H4" s="26" t="s">
        <v>3</v>
      </c>
      <c r="I4" s="26" t="s">
        <v>3</v>
      </c>
      <c r="J4" s="26" t="s">
        <v>23</v>
      </c>
      <c r="K4" s="26" t="s">
        <v>23</v>
      </c>
      <c r="L4" s="26" t="s">
        <v>23</v>
      </c>
      <c r="M4" s="26" t="s">
        <v>23</v>
      </c>
      <c r="N4" s="26" t="s">
        <v>23</v>
      </c>
      <c r="O4" s="26" t="s">
        <v>23</v>
      </c>
      <c r="P4" s="26" t="s">
        <v>23</v>
      </c>
      <c r="Q4" s="26" t="s">
        <v>23</v>
      </c>
      <c r="R4" s="26" t="s">
        <v>3</v>
      </c>
      <c r="S4" s="26" t="s">
        <v>3</v>
      </c>
      <c r="T4" s="26" t="s">
        <v>3</v>
      </c>
      <c r="U4" s="26" t="s">
        <v>23</v>
      </c>
      <c r="V4" s="26" t="s">
        <v>23</v>
      </c>
      <c r="W4" s="26" t="s">
        <v>23</v>
      </c>
      <c r="X4" s="26" t="s">
        <v>23</v>
      </c>
      <c r="Y4" s="26" t="s">
        <v>23</v>
      </c>
      <c r="Z4" s="26" t="s">
        <v>23</v>
      </c>
      <c r="AA4" s="26" t="s">
        <v>23</v>
      </c>
      <c r="AB4" s="26" t="s">
        <v>23</v>
      </c>
      <c r="AC4" s="26" t="s">
        <v>23</v>
      </c>
      <c r="AD4" s="26" t="s">
        <v>3</v>
      </c>
      <c r="AE4" s="26" t="s">
        <v>3</v>
      </c>
      <c r="AF4" s="26" t="s">
        <v>3</v>
      </c>
      <c r="AG4" s="26" t="s">
        <v>23</v>
      </c>
      <c r="AH4" s="26" t="s">
        <v>23</v>
      </c>
      <c r="AI4" s="26" t="s">
        <v>23</v>
      </c>
      <c r="AJ4" s="26" t="s">
        <v>23</v>
      </c>
      <c r="AK4" s="26" t="s">
        <v>23</v>
      </c>
      <c r="AL4" s="26" t="s">
        <v>23</v>
      </c>
      <c r="AM4" s="26" t="s">
        <v>23</v>
      </c>
      <c r="AN4" s="26" t="s">
        <v>23</v>
      </c>
      <c r="AO4" s="26" t="s">
        <v>23</v>
      </c>
      <c r="AP4" s="26" t="s">
        <v>23</v>
      </c>
      <c r="AQ4" s="26" t="s">
        <v>3</v>
      </c>
      <c r="AR4" s="26" t="s">
        <v>23</v>
      </c>
      <c r="AS4" s="26" t="s">
        <v>23</v>
      </c>
      <c r="AT4" s="26" t="s">
        <v>23</v>
      </c>
      <c r="AU4" s="26" t="s">
        <v>23</v>
      </c>
      <c r="AV4" s="26" t="s">
        <v>23</v>
      </c>
      <c r="AW4" s="31" t="s">
        <v>23</v>
      </c>
    </row>
    <row r="5" spans="1:49" x14ac:dyDescent="0.25">
      <c r="A5" s="8" t="s">
        <v>24</v>
      </c>
      <c r="B5" s="30" t="s">
        <v>24</v>
      </c>
      <c r="C5" s="26" t="s">
        <v>24</v>
      </c>
      <c r="D5" s="26" t="s">
        <v>24</v>
      </c>
      <c r="E5" s="26" t="s">
        <v>24</v>
      </c>
      <c r="F5" s="26" t="s">
        <v>24</v>
      </c>
      <c r="G5" s="26" t="s">
        <v>24</v>
      </c>
      <c r="H5" s="26" t="s">
        <v>24</v>
      </c>
      <c r="I5" s="26" t="s">
        <v>24</v>
      </c>
      <c r="J5" s="26" t="s">
        <v>3</v>
      </c>
      <c r="K5" s="26" t="s">
        <v>3</v>
      </c>
      <c r="L5" s="26" t="s">
        <v>24</v>
      </c>
      <c r="M5" s="26" t="s">
        <v>24</v>
      </c>
      <c r="N5" s="26" t="s">
        <v>24</v>
      </c>
      <c r="O5" s="26" t="s">
        <v>24</v>
      </c>
      <c r="P5" s="26" t="s">
        <v>24</v>
      </c>
      <c r="Q5" s="26" t="s">
        <v>24</v>
      </c>
      <c r="R5" s="26" t="s">
        <v>24</v>
      </c>
      <c r="S5" s="26" t="s">
        <v>24</v>
      </c>
      <c r="T5" s="26" t="s">
        <v>24</v>
      </c>
      <c r="U5" s="26" t="s">
        <v>3</v>
      </c>
      <c r="V5" s="26" t="s">
        <v>3</v>
      </c>
      <c r="W5" s="26" t="s">
        <v>3</v>
      </c>
      <c r="X5" s="26" t="s">
        <v>24</v>
      </c>
      <c r="Y5" s="26" t="s">
        <v>24</v>
      </c>
      <c r="Z5" s="26" t="s">
        <v>24</v>
      </c>
      <c r="AA5" s="26" t="s">
        <v>24</v>
      </c>
      <c r="AB5" s="26" t="s">
        <v>24</v>
      </c>
      <c r="AC5" s="26" t="s">
        <v>24</v>
      </c>
      <c r="AD5" s="26" t="s">
        <v>24</v>
      </c>
      <c r="AE5" s="26" t="s">
        <v>24</v>
      </c>
      <c r="AF5" s="26" t="s">
        <v>24</v>
      </c>
      <c r="AG5" s="26" t="s">
        <v>3</v>
      </c>
      <c r="AH5" s="26" t="s">
        <v>3</v>
      </c>
      <c r="AI5" s="26" t="s">
        <v>3</v>
      </c>
      <c r="AJ5" s="26" t="s">
        <v>24</v>
      </c>
      <c r="AK5" s="26" t="s">
        <v>24</v>
      </c>
      <c r="AL5" s="26" t="s">
        <v>24</v>
      </c>
      <c r="AM5" s="26" t="s">
        <v>24</v>
      </c>
      <c r="AN5" s="26" t="s">
        <v>24</v>
      </c>
      <c r="AO5" s="26" t="s">
        <v>24</v>
      </c>
      <c r="AP5" s="26" t="s">
        <v>24</v>
      </c>
      <c r="AQ5" s="26" t="s">
        <v>24</v>
      </c>
      <c r="AR5" s="26" t="s">
        <v>3</v>
      </c>
      <c r="AS5" s="26" t="s">
        <v>24</v>
      </c>
      <c r="AT5" s="26" t="s">
        <v>24</v>
      </c>
      <c r="AU5" s="26" t="s">
        <v>24</v>
      </c>
      <c r="AV5" s="26" t="s">
        <v>24</v>
      </c>
      <c r="AW5" s="31" t="s">
        <v>24</v>
      </c>
    </row>
    <row r="6" spans="1:49" x14ac:dyDescent="0.25">
      <c r="A6" s="8" t="s">
        <v>25</v>
      </c>
      <c r="B6" s="30" t="s">
        <v>25</v>
      </c>
      <c r="C6" s="26" t="s">
        <v>25</v>
      </c>
      <c r="D6" s="26" t="s">
        <v>25</v>
      </c>
      <c r="E6" s="26" t="s">
        <v>25</v>
      </c>
      <c r="F6" s="26" t="s">
        <v>25</v>
      </c>
      <c r="G6" s="26" t="s">
        <v>25</v>
      </c>
      <c r="H6" s="26" t="s">
        <v>25</v>
      </c>
      <c r="I6" s="26" t="s">
        <v>25</v>
      </c>
      <c r="J6" s="26" t="s">
        <v>3</v>
      </c>
      <c r="K6" s="26" t="s">
        <v>3</v>
      </c>
      <c r="L6" s="26" t="s">
        <v>25</v>
      </c>
      <c r="M6" s="26" t="s">
        <v>25</v>
      </c>
      <c r="N6" s="26" t="s">
        <v>25</v>
      </c>
      <c r="O6" s="26" t="s">
        <v>25</v>
      </c>
      <c r="P6" s="26" t="s">
        <v>25</v>
      </c>
      <c r="Q6" s="26" t="s">
        <v>25</v>
      </c>
      <c r="R6" s="26" t="s">
        <v>25</v>
      </c>
      <c r="S6" s="26" t="s">
        <v>25</v>
      </c>
      <c r="T6" s="26" t="s">
        <v>25</v>
      </c>
      <c r="U6" s="26" t="s">
        <v>3</v>
      </c>
      <c r="V6" s="26" t="s">
        <v>3</v>
      </c>
      <c r="W6" s="26" t="s">
        <v>3</v>
      </c>
      <c r="X6" s="26" t="s">
        <v>25</v>
      </c>
      <c r="Y6" s="26" t="s">
        <v>25</v>
      </c>
      <c r="Z6" s="26" t="s">
        <v>25</v>
      </c>
      <c r="AA6" s="26" t="s">
        <v>25</v>
      </c>
      <c r="AB6" s="26" t="s">
        <v>25</v>
      </c>
      <c r="AC6" s="26" t="s">
        <v>25</v>
      </c>
      <c r="AD6" s="26" t="s">
        <v>25</v>
      </c>
      <c r="AE6" s="26" t="s">
        <v>25</v>
      </c>
      <c r="AF6" s="26" t="s">
        <v>25</v>
      </c>
      <c r="AG6" s="26" t="s">
        <v>3</v>
      </c>
      <c r="AH6" s="26" t="s">
        <v>3</v>
      </c>
      <c r="AI6" s="26" t="s">
        <v>3</v>
      </c>
      <c r="AJ6" s="26" t="s">
        <v>25</v>
      </c>
      <c r="AK6" s="26" t="s">
        <v>25</v>
      </c>
      <c r="AL6" s="26" t="s">
        <v>25</v>
      </c>
      <c r="AM6" s="26" t="s">
        <v>25</v>
      </c>
      <c r="AN6" s="26" t="s">
        <v>25</v>
      </c>
      <c r="AO6" s="26" t="s">
        <v>25</v>
      </c>
      <c r="AP6" s="26" t="s">
        <v>25</v>
      </c>
      <c r="AQ6" s="26" t="s">
        <v>25</v>
      </c>
      <c r="AR6" s="26" t="s">
        <v>3</v>
      </c>
      <c r="AS6" s="26" t="s">
        <v>25</v>
      </c>
      <c r="AT6" s="26" t="s">
        <v>25</v>
      </c>
      <c r="AU6" s="26" t="s">
        <v>25</v>
      </c>
      <c r="AV6" s="26" t="s">
        <v>25</v>
      </c>
      <c r="AW6" s="31" t="s">
        <v>25</v>
      </c>
    </row>
    <row r="7" spans="1:49" x14ac:dyDescent="0.25">
      <c r="A7" s="8" t="s">
        <v>26</v>
      </c>
      <c r="B7" s="30" t="s">
        <v>26</v>
      </c>
      <c r="C7" s="26" t="s">
        <v>26</v>
      </c>
      <c r="D7" s="26" t="s">
        <v>26</v>
      </c>
      <c r="E7" s="26" t="s">
        <v>26</v>
      </c>
      <c r="F7" s="26" t="s">
        <v>26</v>
      </c>
      <c r="G7" s="26" t="s">
        <v>26</v>
      </c>
      <c r="H7" s="26" t="s">
        <v>26</v>
      </c>
      <c r="I7" s="26" t="s">
        <v>26</v>
      </c>
      <c r="J7" s="26" t="s">
        <v>26</v>
      </c>
      <c r="K7" s="26" t="s">
        <v>26</v>
      </c>
      <c r="L7" s="26" t="s">
        <v>3</v>
      </c>
      <c r="M7" s="26" t="s">
        <v>3</v>
      </c>
      <c r="N7" s="26" t="s">
        <v>26</v>
      </c>
      <c r="O7" s="26" t="s">
        <v>26</v>
      </c>
      <c r="P7" s="26" t="s">
        <v>26</v>
      </c>
      <c r="Q7" s="26" t="s">
        <v>26</v>
      </c>
      <c r="R7" s="26" t="s">
        <v>26</v>
      </c>
      <c r="S7" s="26" t="s">
        <v>26</v>
      </c>
      <c r="T7" s="26" t="s">
        <v>26</v>
      </c>
      <c r="U7" s="26" t="s">
        <v>26</v>
      </c>
      <c r="V7" s="26" t="s">
        <v>26</v>
      </c>
      <c r="W7" s="26" t="s">
        <v>26</v>
      </c>
      <c r="X7" s="26" t="s">
        <v>3</v>
      </c>
      <c r="Y7" s="26" t="s">
        <v>3</v>
      </c>
      <c r="Z7" s="26" t="s">
        <v>3</v>
      </c>
      <c r="AA7" s="26" t="s">
        <v>26</v>
      </c>
      <c r="AB7" s="26" t="s">
        <v>26</v>
      </c>
      <c r="AC7" s="26" t="s">
        <v>26</v>
      </c>
      <c r="AD7" s="26" t="s">
        <v>26</v>
      </c>
      <c r="AE7" s="26" t="s">
        <v>26</v>
      </c>
      <c r="AF7" s="26" t="s">
        <v>26</v>
      </c>
      <c r="AG7" s="26" t="s">
        <v>26</v>
      </c>
      <c r="AH7" s="26" t="s">
        <v>26</v>
      </c>
      <c r="AI7" s="26" t="s">
        <v>26</v>
      </c>
      <c r="AJ7" s="26" t="s">
        <v>3</v>
      </c>
      <c r="AK7" s="26" t="s">
        <v>3</v>
      </c>
      <c r="AL7" s="26" t="s">
        <v>3</v>
      </c>
      <c r="AM7" s="26" t="s">
        <v>26</v>
      </c>
      <c r="AN7" s="26" t="s">
        <v>26</v>
      </c>
      <c r="AO7" s="26" t="s">
        <v>26</v>
      </c>
      <c r="AP7" s="26" t="s">
        <v>26</v>
      </c>
      <c r="AQ7" s="26" t="s">
        <v>26</v>
      </c>
      <c r="AR7" s="26" t="s">
        <v>26</v>
      </c>
      <c r="AS7" s="26" t="s">
        <v>3</v>
      </c>
      <c r="AT7" s="26" t="s">
        <v>26</v>
      </c>
      <c r="AU7" s="26" t="s">
        <v>26</v>
      </c>
      <c r="AV7" s="26" t="s">
        <v>26</v>
      </c>
      <c r="AW7" s="31" t="s">
        <v>26</v>
      </c>
    </row>
    <row r="8" spans="1:49" ht="15.75" thickBot="1" x14ac:dyDescent="0.3">
      <c r="A8" s="8" t="s">
        <v>27</v>
      </c>
      <c r="B8" s="32" t="s">
        <v>27</v>
      </c>
      <c r="C8" s="33" t="s">
        <v>27</v>
      </c>
      <c r="D8" s="33" t="s">
        <v>27</v>
      </c>
      <c r="E8" s="33" t="s">
        <v>27</v>
      </c>
      <c r="F8" s="33" t="s">
        <v>27</v>
      </c>
      <c r="G8" s="33" t="s">
        <v>27</v>
      </c>
      <c r="H8" s="33" t="s">
        <v>27</v>
      </c>
      <c r="I8" s="33" t="s">
        <v>27</v>
      </c>
      <c r="J8" s="33" t="s">
        <v>27</v>
      </c>
      <c r="K8" s="33" t="s">
        <v>27</v>
      </c>
      <c r="L8" s="33" t="s">
        <v>3</v>
      </c>
      <c r="M8" s="33" t="s">
        <v>3</v>
      </c>
      <c r="N8" s="33" t="s">
        <v>27</v>
      </c>
      <c r="O8" s="33" t="s">
        <v>27</v>
      </c>
      <c r="P8" s="33" t="s">
        <v>27</v>
      </c>
      <c r="Q8" s="33" t="s">
        <v>27</v>
      </c>
      <c r="R8" s="33" t="s">
        <v>23</v>
      </c>
      <c r="S8" s="33" t="s">
        <v>23</v>
      </c>
      <c r="T8" s="33" t="s">
        <v>23</v>
      </c>
      <c r="U8" s="33" t="s">
        <v>25</v>
      </c>
      <c r="V8" s="33" t="s">
        <v>25</v>
      </c>
      <c r="W8" s="33" t="s">
        <v>25</v>
      </c>
      <c r="X8" s="33" t="s">
        <v>3</v>
      </c>
      <c r="Y8" s="33" t="s">
        <v>3</v>
      </c>
      <c r="Z8" s="33" t="s">
        <v>3</v>
      </c>
      <c r="AA8" s="33" t="s">
        <v>27</v>
      </c>
      <c r="AB8" s="33" t="s">
        <v>27</v>
      </c>
      <c r="AC8" s="33" t="s">
        <v>27</v>
      </c>
      <c r="AD8" s="33" t="s">
        <v>23</v>
      </c>
      <c r="AE8" s="33" t="s">
        <v>23</v>
      </c>
      <c r="AF8" s="33" t="s">
        <v>23</v>
      </c>
      <c r="AG8" s="33" t="s">
        <v>25</v>
      </c>
      <c r="AH8" s="33" t="s">
        <v>25</v>
      </c>
      <c r="AI8" s="33" t="s">
        <v>25</v>
      </c>
      <c r="AJ8" s="33" t="s">
        <v>3</v>
      </c>
      <c r="AK8" s="33" t="s">
        <v>3</v>
      </c>
      <c r="AL8" s="33" t="s">
        <v>3</v>
      </c>
      <c r="AM8" s="33" t="s">
        <v>27</v>
      </c>
      <c r="AN8" s="33" t="s">
        <v>27</v>
      </c>
      <c r="AO8" s="33" t="s">
        <v>27</v>
      </c>
      <c r="AP8" s="33" t="s">
        <v>27</v>
      </c>
      <c r="AQ8" s="33" t="s">
        <v>27</v>
      </c>
      <c r="AR8" s="33" t="s">
        <v>27</v>
      </c>
      <c r="AS8" s="33" t="s">
        <v>3</v>
      </c>
      <c r="AT8" s="33" t="s">
        <v>27</v>
      </c>
      <c r="AU8" s="33" t="s">
        <v>27</v>
      </c>
      <c r="AV8" s="33" t="s">
        <v>27</v>
      </c>
      <c r="AW8" s="34" t="s">
        <v>27</v>
      </c>
    </row>
    <row r="9" spans="1:49" ht="15.75" thickBot="1" x14ac:dyDescent="0.3">
      <c r="A9" s="35" t="s">
        <v>17</v>
      </c>
      <c r="B9" s="24">
        <f>SUM(COUNTIF(B3:B8,"=AL*"))</f>
        <v>6</v>
      </c>
      <c r="C9" s="24">
        <f t="shared" ref="C9:AW9" si="0">SUM(COUNTIF(C3:C8,"=AL*"))</f>
        <v>6</v>
      </c>
      <c r="D9" s="24">
        <f t="shared" si="0"/>
        <v>6</v>
      </c>
      <c r="E9" s="24">
        <f t="shared" si="0"/>
        <v>6</v>
      </c>
      <c r="F9" s="24">
        <f t="shared" si="0"/>
        <v>6</v>
      </c>
      <c r="G9" s="24">
        <f t="shared" si="0"/>
        <v>6</v>
      </c>
      <c r="H9" s="24">
        <f t="shared" si="0"/>
        <v>4</v>
      </c>
      <c r="I9" s="24">
        <f t="shared" si="0"/>
        <v>4</v>
      </c>
      <c r="J9" s="24">
        <f t="shared" si="0"/>
        <v>4</v>
      </c>
      <c r="K9" s="24">
        <f t="shared" si="0"/>
        <v>4</v>
      </c>
      <c r="L9" s="24">
        <f t="shared" si="0"/>
        <v>4</v>
      </c>
      <c r="M9" s="24">
        <f t="shared" si="0"/>
        <v>4</v>
      </c>
      <c r="N9" s="24">
        <f t="shared" si="0"/>
        <v>6</v>
      </c>
      <c r="O9" s="24">
        <f t="shared" si="0"/>
        <v>6</v>
      </c>
      <c r="P9" s="24">
        <f t="shared" si="0"/>
        <v>6</v>
      </c>
      <c r="Q9" s="24">
        <f t="shared" si="0"/>
        <v>6</v>
      </c>
      <c r="R9" s="24">
        <f t="shared" si="0"/>
        <v>4</v>
      </c>
      <c r="S9" s="24">
        <f t="shared" si="0"/>
        <v>4</v>
      </c>
      <c r="T9" s="24">
        <f t="shared" si="0"/>
        <v>4</v>
      </c>
      <c r="U9" s="24">
        <f t="shared" si="0"/>
        <v>4</v>
      </c>
      <c r="V9" s="24">
        <f t="shared" si="0"/>
        <v>4</v>
      </c>
      <c r="W9" s="24">
        <f t="shared" si="0"/>
        <v>4</v>
      </c>
      <c r="X9" s="24">
        <f t="shared" si="0"/>
        <v>4</v>
      </c>
      <c r="Y9" s="24">
        <f t="shared" si="0"/>
        <v>4</v>
      </c>
      <c r="Z9" s="24">
        <f t="shared" si="0"/>
        <v>4</v>
      </c>
      <c r="AA9" s="24">
        <f t="shared" si="0"/>
        <v>6</v>
      </c>
      <c r="AB9" s="24">
        <f t="shared" si="0"/>
        <v>6</v>
      </c>
      <c r="AC9" s="24">
        <f t="shared" si="0"/>
        <v>6</v>
      </c>
      <c r="AD9" s="24">
        <f t="shared" si="0"/>
        <v>4</v>
      </c>
      <c r="AE9" s="24">
        <f t="shared" si="0"/>
        <v>4</v>
      </c>
      <c r="AF9" s="24">
        <f t="shared" si="0"/>
        <v>4</v>
      </c>
      <c r="AG9" s="24">
        <f t="shared" si="0"/>
        <v>4</v>
      </c>
      <c r="AH9" s="24">
        <f t="shared" si="0"/>
        <v>4</v>
      </c>
      <c r="AI9" s="24">
        <f t="shared" si="0"/>
        <v>4</v>
      </c>
      <c r="AJ9" s="24">
        <f t="shared" si="0"/>
        <v>4</v>
      </c>
      <c r="AK9" s="24">
        <f t="shared" si="0"/>
        <v>4</v>
      </c>
      <c r="AL9" s="24">
        <f t="shared" si="0"/>
        <v>4</v>
      </c>
      <c r="AM9" s="24">
        <f t="shared" si="0"/>
        <v>6</v>
      </c>
      <c r="AN9" s="24">
        <f t="shared" si="0"/>
        <v>6</v>
      </c>
      <c r="AO9" s="24">
        <f t="shared" si="0"/>
        <v>6</v>
      </c>
      <c r="AP9" s="24">
        <f t="shared" si="0"/>
        <v>6</v>
      </c>
      <c r="AQ9" s="24">
        <f t="shared" si="0"/>
        <v>4</v>
      </c>
      <c r="AR9" s="24">
        <f t="shared" si="0"/>
        <v>4</v>
      </c>
      <c r="AS9" s="24">
        <f t="shared" si="0"/>
        <v>4</v>
      </c>
      <c r="AT9" s="24">
        <f t="shared" si="0"/>
        <v>6</v>
      </c>
      <c r="AU9" s="24">
        <f t="shared" si="0"/>
        <v>6</v>
      </c>
      <c r="AV9" s="24">
        <f t="shared" si="0"/>
        <v>6</v>
      </c>
      <c r="AW9" s="25">
        <f t="shared" si="0"/>
        <v>6</v>
      </c>
    </row>
    <row r="10" spans="1:49" ht="15.75" thickBot="1" x14ac:dyDescent="0.3">
      <c r="A10" s="35" t="s">
        <v>18</v>
      </c>
      <c r="B10" s="24">
        <f>SUM(COUNTIF(B3:B8,"=Acar*"))</f>
        <v>0</v>
      </c>
      <c r="C10" s="24">
        <f t="shared" ref="C10:AW10" si="1">SUM(COUNTIF(C3:C8,"=Acar*"))</f>
        <v>0</v>
      </c>
      <c r="D10" s="24">
        <f t="shared" si="1"/>
        <v>0</v>
      </c>
      <c r="E10" s="24">
        <f t="shared" si="1"/>
        <v>0</v>
      </c>
      <c r="F10" s="24">
        <f t="shared" si="1"/>
        <v>0</v>
      </c>
      <c r="G10" s="24">
        <f t="shared" si="1"/>
        <v>0</v>
      </c>
      <c r="H10" s="24">
        <f t="shared" si="1"/>
        <v>0</v>
      </c>
      <c r="I10" s="24">
        <f t="shared" si="1"/>
        <v>0</v>
      </c>
      <c r="J10" s="24">
        <f t="shared" si="1"/>
        <v>0</v>
      </c>
      <c r="K10" s="24">
        <f t="shared" si="1"/>
        <v>0</v>
      </c>
      <c r="L10" s="24">
        <f t="shared" si="1"/>
        <v>0</v>
      </c>
      <c r="M10" s="24">
        <f t="shared" si="1"/>
        <v>0</v>
      </c>
      <c r="N10" s="24">
        <f t="shared" si="1"/>
        <v>0</v>
      </c>
      <c r="O10" s="24">
        <f t="shared" si="1"/>
        <v>0</v>
      </c>
      <c r="P10" s="24">
        <f t="shared" si="1"/>
        <v>0</v>
      </c>
      <c r="Q10" s="24">
        <f t="shared" si="1"/>
        <v>0</v>
      </c>
      <c r="R10" s="24">
        <f t="shared" si="1"/>
        <v>0</v>
      </c>
      <c r="S10" s="24">
        <f t="shared" si="1"/>
        <v>0</v>
      </c>
      <c r="T10" s="24">
        <f t="shared" si="1"/>
        <v>0</v>
      </c>
      <c r="U10" s="24">
        <f t="shared" si="1"/>
        <v>0</v>
      </c>
      <c r="V10" s="24">
        <f t="shared" si="1"/>
        <v>0</v>
      </c>
      <c r="W10" s="24">
        <f t="shared" si="1"/>
        <v>0</v>
      </c>
      <c r="X10" s="24">
        <f t="shared" si="1"/>
        <v>0</v>
      </c>
      <c r="Y10" s="24">
        <f t="shared" si="1"/>
        <v>0</v>
      </c>
      <c r="Z10" s="24">
        <f t="shared" si="1"/>
        <v>0</v>
      </c>
      <c r="AA10" s="24">
        <f t="shared" si="1"/>
        <v>0</v>
      </c>
      <c r="AB10" s="24">
        <f t="shared" si="1"/>
        <v>0</v>
      </c>
      <c r="AC10" s="24">
        <f t="shared" si="1"/>
        <v>0</v>
      </c>
      <c r="AD10" s="24">
        <f t="shared" si="1"/>
        <v>0</v>
      </c>
      <c r="AE10" s="24">
        <f t="shared" si="1"/>
        <v>0</v>
      </c>
      <c r="AF10" s="24">
        <f t="shared" si="1"/>
        <v>0</v>
      </c>
      <c r="AG10" s="24">
        <f t="shared" si="1"/>
        <v>0</v>
      </c>
      <c r="AH10" s="24">
        <f t="shared" si="1"/>
        <v>0</v>
      </c>
      <c r="AI10" s="24">
        <f t="shared" si="1"/>
        <v>0</v>
      </c>
      <c r="AJ10" s="24">
        <f t="shared" si="1"/>
        <v>0</v>
      </c>
      <c r="AK10" s="24">
        <f t="shared" si="1"/>
        <v>0</v>
      </c>
      <c r="AL10" s="24">
        <f t="shared" si="1"/>
        <v>0</v>
      </c>
      <c r="AM10" s="24">
        <f t="shared" si="1"/>
        <v>0</v>
      </c>
      <c r="AN10" s="24">
        <f t="shared" si="1"/>
        <v>0</v>
      </c>
      <c r="AO10" s="24">
        <f t="shared" si="1"/>
        <v>0</v>
      </c>
      <c r="AP10" s="24">
        <f t="shared" si="1"/>
        <v>0</v>
      </c>
      <c r="AQ10" s="24">
        <f t="shared" si="1"/>
        <v>0</v>
      </c>
      <c r="AR10" s="24">
        <f t="shared" si="1"/>
        <v>0</v>
      </c>
      <c r="AS10" s="24">
        <f t="shared" si="1"/>
        <v>0</v>
      </c>
      <c r="AT10" s="24">
        <f t="shared" si="1"/>
        <v>0</v>
      </c>
      <c r="AU10" s="24">
        <f t="shared" si="1"/>
        <v>0</v>
      </c>
      <c r="AV10" s="24">
        <f t="shared" si="1"/>
        <v>0</v>
      </c>
      <c r="AW10" s="25">
        <f t="shared" si="1"/>
        <v>0</v>
      </c>
    </row>
    <row r="11" spans="1:49" ht="15.75" thickBot="1" x14ac:dyDescent="0.3">
      <c r="A11" s="35" t="s">
        <v>2</v>
      </c>
      <c r="B11" s="22" t="str">
        <f>IF(B10=0, CONCATENATE(B9), CONCATENATE(B9, ",",B10))</f>
        <v>6</v>
      </c>
      <c r="C11" s="22" t="str">
        <f t="shared" ref="C11:AW11" si="2">IF(C10=0, CONCATENATE(C9), CONCATENATE(C9, ",",C10))</f>
        <v>6</v>
      </c>
      <c r="D11" s="22" t="str">
        <f t="shared" si="2"/>
        <v>6</v>
      </c>
      <c r="E11" s="22" t="str">
        <f t="shared" si="2"/>
        <v>6</v>
      </c>
      <c r="F11" s="22" t="str">
        <f t="shared" si="2"/>
        <v>6</v>
      </c>
      <c r="G11" s="22" t="str">
        <f t="shared" si="2"/>
        <v>6</v>
      </c>
      <c r="H11" s="22" t="str">
        <f t="shared" si="2"/>
        <v>4</v>
      </c>
      <c r="I11" s="22" t="str">
        <f t="shared" si="2"/>
        <v>4</v>
      </c>
      <c r="J11" s="22" t="str">
        <f t="shared" si="2"/>
        <v>4</v>
      </c>
      <c r="K11" s="22" t="str">
        <f t="shared" si="2"/>
        <v>4</v>
      </c>
      <c r="L11" s="22" t="str">
        <f t="shared" si="2"/>
        <v>4</v>
      </c>
      <c r="M11" s="22" t="str">
        <f t="shared" si="2"/>
        <v>4</v>
      </c>
      <c r="N11" s="22" t="str">
        <f t="shared" si="2"/>
        <v>6</v>
      </c>
      <c r="O11" s="22" t="str">
        <f t="shared" si="2"/>
        <v>6</v>
      </c>
      <c r="P11" s="22" t="str">
        <f t="shared" si="2"/>
        <v>6</v>
      </c>
      <c r="Q11" s="22" t="str">
        <f t="shared" si="2"/>
        <v>6</v>
      </c>
      <c r="R11" s="22" t="str">
        <f t="shared" si="2"/>
        <v>4</v>
      </c>
      <c r="S11" s="22" t="str">
        <f t="shared" si="2"/>
        <v>4</v>
      </c>
      <c r="T11" s="22" t="str">
        <f t="shared" si="2"/>
        <v>4</v>
      </c>
      <c r="U11" s="22" t="str">
        <f t="shared" si="2"/>
        <v>4</v>
      </c>
      <c r="V11" s="22" t="str">
        <f t="shared" si="2"/>
        <v>4</v>
      </c>
      <c r="W11" s="22" t="str">
        <f t="shared" si="2"/>
        <v>4</v>
      </c>
      <c r="X11" s="22" t="str">
        <f t="shared" si="2"/>
        <v>4</v>
      </c>
      <c r="Y11" s="22" t="str">
        <f t="shared" si="2"/>
        <v>4</v>
      </c>
      <c r="Z11" s="22" t="str">
        <f t="shared" si="2"/>
        <v>4</v>
      </c>
      <c r="AA11" s="22" t="str">
        <f t="shared" si="2"/>
        <v>6</v>
      </c>
      <c r="AB11" s="22" t="str">
        <f t="shared" si="2"/>
        <v>6</v>
      </c>
      <c r="AC11" s="22" t="str">
        <f t="shared" si="2"/>
        <v>6</v>
      </c>
      <c r="AD11" s="22" t="str">
        <f t="shared" si="2"/>
        <v>4</v>
      </c>
      <c r="AE11" s="22" t="str">
        <f t="shared" si="2"/>
        <v>4</v>
      </c>
      <c r="AF11" s="22" t="str">
        <f t="shared" si="2"/>
        <v>4</v>
      </c>
      <c r="AG11" s="22" t="str">
        <f t="shared" si="2"/>
        <v>4</v>
      </c>
      <c r="AH11" s="22" t="str">
        <f t="shared" si="2"/>
        <v>4</v>
      </c>
      <c r="AI11" s="22" t="str">
        <f t="shared" si="2"/>
        <v>4</v>
      </c>
      <c r="AJ11" s="22" t="str">
        <f t="shared" si="2"/>
        <v>4</v>
      </c>
      <c r="AK11" s="22" t="str">
        <f t="shared" si="2"/>
        <v>4</v>
      </c>
      <c r="AL11" s="22" t="str">
        <f t="shared" si="2"/>
        <v>4</v>
      </c>
      <c r="AM11" s="22" t="str">
        <f t="shared" si="2"/>
        <v>6</v>
      </c>
      <c r="AN11" s="22" t="str">
        <f t="shared" si="2"/>
        <v>6</v>
      </c>
      <c r="AO11" s="22" t="str">
        <f t="shared" si="2"/>
        <v>6</v>
      </c>
      <c r="AP11" s="22" t="str">
        <f t="shared" si="2"/>
        <v>6</v>
      </c>
      <c r="AQ11" s="22" t="str">
        <f t="shared" si="2"/>
        <v>4</v>
      </c>
      <c r="AR11" s="22" t="str">
        <f t="shared" si="2"/>
        <v>4</v>
      </c>
      <c r="AS11" s="22" t="str">
        <f t="shared" si="2"/>
        <v>4</v>
      </c>
      <c r="AT11" s="22" t="str">
        <f t="shared" si="2"/>
        <v>6</v>
      </c>
      <c r="AU11" s="22" t="str">
        <f t="shared" si="2"/>
        <v>6</v>
      </c>
      <c r="AV11" s="22" t="str">
        <f t="shared" si="2"/>
        <v>6</v>
      </c>
      <c r="AW11" s="23" t="str">
        <f t="shared" si="2"/>
        <v>6</v>
      </c>
    </row>
    <row r="12" spans="1:49" ht="15.75" thickBot="1" x14ac:dyDescent="0.3">
      <c r="A12" s="44" t="s">
        <v>4</v>
      </c>
      <c r="B12" s="45"/>
      <c r="C12" s="45"/>
      <c r="D12" s="45"/>
      <c r="E12" s="45"/>
      <c r="F12" s="45"/>
      <c r="G12" s="45"/>
      <c r="H12" s="45"/>
      <c r="I12" s="45"/>
      <c r="J12" s="45"/>
      <c r="K12" s="45"/>
      <c r="L12" s="45"/>
      <c r="M12" s="45"/>
      <c r="N12" s="45"/>
      <c r="O12" s="45"/>
      <c r="P12" s="45"/>
      <c r="Q12" s="45"/>
      <c r="R12" s="45"/>
      <c r="S12" s="45"/>
      <c r="T12" s="45"/>
      <c r="U12" s="45"/>
      <c r="V12" s="45"/>
      <c r="W12" s="45"/>
      <c r="X12" s="45"/>
      <c r="Y12" s="45"/>
      <c r="Z12" s="45"/>
      <c r="AA12" s="45"/>
      <c r="AB12" s="45"/>
      <c r="AC12" s="45"/>
      <c r="AD12" s="45"/>
      <c r="AE12" s="45"/>
      <c r="AF12" s="45"/>
      <c r="AG12" s="45"/>
      <c r="AH12" s="45"/>
      <c r="AI12" s="45"/>
      <c r="AJ12" s="45"/>
      <c r="AK12" s="45"/>
      <c r="AL12" s="45"/>
      <c r="AM12" s="45"/>
      <c r="AN12" s="45"/>
      <c r="AO12" s="45"/>
      <c r="AP12" s="45"/>
      <c r="AQ12" s="45"/>
      <c r="AR12" s="45"/>
      <c r="AS12" s="45"/>
      <c r="AT12" s="45"/>
      <c r="AU12" s="45"/>
      <c r="AV12" s="45"/>
      <c r="AW12" s="46"/>
    </row>
    <row r="13" spans="1:49" x14ac:dyDescent="0.25">
      <c r="A13" s="7" t="s">
        <v>6</v>
      </c>
      <c r="B13" s="27"/>
      <c r="C13" s="28"/>
      <c r="D13" s="28"/>
      <c r="E13" s="28"/>
      <c r="F13" s="28"/>
      <c r="G13" s="28"/>
      <c r="H13" s="28" t="s">
        <v>22</v>
      </c>
      <c r="I13" s="28" t="s">
        <v>22</v>
      </c>
      <c r="J13" s="28" t="s">
        <v>24</v>
      </c>
      <c r="K13" s="28" t="s">
        <v>24</v>
      </c>
      <c r="L13" s="28" t="s">
        <v>26</v>
      </c>
      <c r="M13" s="28" t="s">
        <v>26</v>
      </c>
      <c r="N13" s="28"/>
      <c r="O13" s="28"/>
      <c r="P13" s="28"/>
      <c r="Q13" s="28"/>
      <c r="R13" s="28" t="s">
        <v>22</v>
      </c>
      <c r="S13" s="28" t="s">
        <v>22</v>
      </c>
      <c r="T13" s="28" t="s">
        <v>22</v>
      </c>
      <c r="U13" s="28" t="s">
        <v>24</v>
      </c>
      <c r="V13" s="28" t="s">
        <v>24</v>
      </c>
      <c r="W13" s="28" t="s">
        <v>24</v>
      </c>
      <c r="X13" s="28" t="s">
        <v>26</v>
      </c>
      <c r="Y13" s="28" t="s">
        <v>26</v>
      </c>
      <c r="Z13" s="28" t="s">
        <v>26</v>
      </c>
      <c r="AA13" s="28"/>
      <c r="AB13" s="28"/>
      <c r="AC13" s="28"/>
      <c r="AD13" s="28" t="s">
        <v>22</v>
      </c>
      <c r="AE13" s="28" t="s">
        <v>22</v>
      </c>
      <c r="AF13" s="28" t="s">
        <v>22</v>
      </c>
      <c r="AG13" s="28" t="s">
        <v>24</v>
      </c>
      <c r="AH13" s="28" t="s">
        <v>24</v>
      </c>
      <c r="AI13" s="28" t="s">
        <v>24</v>
      </c>
      <c r="AJ13" s="28" t="s">
        <v>26</v>
      </c>
      <c r="AK13" s="28" t="s">
        <v>26</v>
      </c>
      <c r="AL13" s="28" t="s">
        <v>26</v>
      </c>
      <c r="AM13" s="28"/>
      <c r="AN13" s="28"/>
      <c r="AO13" s="28"/>
      <c r="AP13" s="28"/>
      <c r="AQ13" s="28" t="s">
        <v>22</v>
      </c>
      <c r="AR13" s="28" t="s">
        <v>24</v>
      </c>
      <c r="AS13" s="28" t="s">
        <v>26</v>
      </c>
      <c r="AT13" s="28"/>
      <c r="AU13" s="28"/>
      <c r="AV13" s="28"/>
      <c r="AW13" s="29"/>
    </row>
    <row r="14" spans="1:49" x14ac:dyDescent="0.25">
      <c r="A14" s="8" t="s">
        <v>6</v>
      </c>
      <c r="B14" s="30"/>
      <c r="C14" s="26"/>
      <c r="D14" s="26"/>
      <c r="E14" s="26"/>
      <c r="F14" s="26"/>
      <c r="G14" s="26"/>
      <c r="H14" s="26" t="s">
        <v>23</v>
      </c>
      <c r="I14" s="26" t="s">
        <v>23</v>
      </c>
      <c r="J14" s="26" t="s">
        <v>25</v>
      </c>
      <c r="K14" s="26" t="s">
        <v>25</v>
      </c>
      <c r="L14" s="26" t="s">
        <v>27</v>
      </c>
      <c r="M14" s="26" t="s">
        <v>27</v>
      </c>
      <c r="N14" s="26"/>
      <c r="O14" s="26"/>
      <c r="P14" s="26"/>
      <c r="Q14" s="26"/>
      <c r="R14" s="26"/>
      <c r="S14" s="26"/>
      <c r="T14" s="26"/>
      <c r="U14" s="26"/>
      <c r="V14" s="26"/>
      <c r="W14" s="26"/>
      <c r="X14" s="26" t="s">
        <v>27</v>
      </c>
      <c r="Y14" s="26" t="s">
        <v>27</v>
      </c>
      <c r="Z14" s="26" t="s">
        <v>27</v>
      </c>
      <c r="AA14" s="26"/>
      <c r="AB14" s="26"/>
      <c r="AC14" s="26"/>
      <c r="AD14" s="26"/>
      <c r="AE14" s="26"/>
      <c r="AF14" s="26"/>
      <c r="AG14" s="26"/>
      <c r="AH14" s="26"/>
      <c r="AI14" s="26"/>
      <c r="AJ14" s="26" t="s">
        <v>27</v>
      </c>
      <c r="AK14" s="26" t="s">
        <v>27</v>
      </c>
      <c r="AL14" s="26" t="s">
        <v>27</v>
      </c>
      <c r="AM14" s="26"/>
      <c r="AN14" s="26"/>
      <c r="AO14" s="26"/>
      <c r="AP14" s="26"/>
      <c r="AQ14" s="26" t="s">
        <v>23</v>
      </c>
      <c r="AR14" s="26" t="s">
        <v>25</v>
      </c>
      <c r="AS14" s="26" t="s">
        <v>27</v>
      </c>
      <c r="AT14" s="26"/>
      <c r="AU14" s="26"/>
      <c r="AV14" s="26"/>
      <c r="AW14" s="31"/>
    </row>
    <row r="15" spans="1:49" x14ac:dyDescent="0.25">
      <c r="A15" s="8"/>
      <c r="B15" s="30"/>
      <c r="C15" s="26"/>
      <c r="D15" s="26"/>
      <c r="E15" s="26"/>
      <c r="F15" s="26"/>
      <c r="G15" s="26"/>
      <c r="H15" s="26"/>
      <c r="I15" s="26"/>
      <c r="J15" s="26"/>
      <c r="K15" s="26"/>
      <c r="L15" s="26"/>
      <c r="M15" s="26"/>
      <c r="N15" s="26"/>
      <c r="O15" s="26"/>
      <c r="P15" s="26"/>
      <c r="Q15" s="26"/>
      <c r="R15" s="26"/>
      <c r="S15" s="26"/>
      <c r="T15" s="26"/>
      <c r="U15" s="26"/>
      <c r="V15" s="26"/>
      <c r="W15" s="26"/>
      <c r="X15" s="26"/>
      <c r="Y15" s="26"/>
      <c r="Z15" s="26"/>
      <c r="AA15" s="26"/>
      <c r="AB15" s="26"/>
      <c r="AC15" s="26"/>
      <c r="AD15" s="26"/>
      <c r="AE15" s="26"/>
      <c r="AF15" s="26"/>
      <c r="AG15" s="26"/>
      <c r="AH15" s="26"/>
      <c r="AI15" s="26"/>
      <c r="AJ15" s="26"/>
      <c r="AK15" s="26"/>
      <c r="AL15" s="26"/>
      <c r="AM15" s="26"/>
      <c r="AN15" s="26"/>
      <c r="AO15" s="26"/>
      <c r="AP15" s="26"/>
      <c r="AQ15" s="26"/>
      <c r="AR15" s="26"/>
      <c r="AS15" s="26"/>
      <c r="AT15" s="26"/>
      <c r="AU15" s="26"/>
      <c r="AV15" s="26"/>
      <c r="AW15" s="31"/>
    </row>
    <row r="16" spans="1:49" x14ac:dyDescent="0.25">
      <c r="A16" s="8"/>
      <c r="B16" s="30"/>
      <c r="C16" s="26"/>
      <c r="D16" s="26"/>
      <c r="E16" s="26"/>
      <c r="F16" s="26"/>
      <c r="G16" s="26"/>
      <c r="H16" s="26"/>
      <c r="I16" s="26"/>
      <c r="J16" s="26"/>
      <c r="K16" s="26"/>
      <c r="L16" s="26"/>
      <c r="M16" s="26"/>
      <c r="N16" s="26"/>
      <c r="O16" s="26"/>
      <c r="P16" s="26"/>
      <c r="Q16" s="26"/>
      <c r="R16" s="26"/>
      <c r="S16" s="26"/>
      <c r="T16" s="26"/>
      <c r="U16" s="26"/>
      <c r="V16" s="26"/>
      <c r="W16" s="26"/>
      <c r="X16" s="26"/>
      <c r="Y16" s="26"/>
      <c r="Z16" s="26"/>
      <c r="AA16" s="26"/>
      <c r="AB16" s="26"/>
      <c r="AC16" s="26"/>
      <c r="AD16" s="26"/>
      <c r="AE16" s="26"/>
      <c r="AF16" s="26"/>
      <c r="AG16" s="26"/>
      <c r="AH16" s="26"/>
      <c r="AI16" s="26"/>
      <c r="AJ16" s="26"/>
      <c r="AK16" s="26"/>
      <c r="AL16" s="26"/>
      <c r="AM16" s="26"/>
      <c r="AN16" s="26"/>
      <c r="AO16" s="26"/>
      <c r="AP16" s="26"/>
      <c r="AQ16" s="26"/>
      <c r="AR16" s="26"/>
      <c r="AS16" s="26"/>
      <c r="AT16" s="26"/>
      <c r="AU16" s="26"/>
      <c r="AV16" s="26"/>
      <c r="AW16" s="31"/>
    </row>
    <row r="17" spans="1:49" x14ac:dyDescent="0.25">
      <c r="A17" s="8"/>
      <c r="B17" s="30"/>
      <c r="C17" s="26"/>
      <c r="D17" s="26"/>
      <c r="E17" s="26"/>
      <c r="F17" s="26"/>
      <c r="G17" s="26"/>
      <c r="H17" s="26"/>
      <c r="I17" s="26"/>
      <c r="J17" s="26"/>
      <c r="K17" s="26"/>
      <c r="L17" s="26"/>
      <c r="M17" s="26"/>
      <c r="N17" s="26"/>
      <c r="O17" s="26"/>
      <c r="P17" s="26"/>
      <c r="Q17" s="26"/>
      <c r="R17" s="26"/>
      <c r="S17" s="26"/>
      <c r="T17" s="26"/>
      <c r="U17" s="26"/>
      <c r="V17" s="26"/>
      <c r="W17" s="26"/>
      <c r="X17" s="26"/>
      <c r="Y17" s="26"/>
      <c r="Z17" s="26"/>
      <c r="AA17" s="26"/>
      <c r="AB17" s="26"/>
      <c r="AC17" s="26"/>
      <c r="AD17" s="26"/>
      <c r="AE17" s="26"/>
      <c r="AF17" s="26"/>
      <c r="AG17" s="26"/>
      <c r="AH17" s="26"/>
      <c r="AI17" s="26"/>
      <c r="AJ17" s="26"/>
      <c r="AK17" s="26"/>
      <c r="AL17" s="26"/>
      <c r="AM17" s="26"/>
      <c r="AN17" s="26"/>
      <c r="AO17" s="26"/>
      <c r="AP17" s="26"/>
      <c r="AQ17" s="26"/>
      <c r="AR17" s="26"/>
      <c r="AS17" s="26"/>
      <c r="AT17" s="26"/>
      <c r="AU17" s="26"/>
      <c r="AV17" s="26"/>
      <c r="AW17" s="31"/>
    </row>
    <row r="18" spans="1:49" ht="15.75" thickBot="1" x14ac:dyDescent="0.3">
      <c r="A18" s="9"/>
      <c r="B18" s="32"/>
      <c r="C18" s="33"/>
      <c r="D18" s="33"/>
      <c r="E18" s="33"/>
      <c r="F18" s="33"/>
      <c r="G18" s="33"/>
      <c r="H18" s="33"/>
      <c r="I18" s="33"/>
      <c r="J18" s="33"/>
      <c r="K18" s="33"/>
      <c r="L18" s="33"/>
      <c r="M18" s="33"/>
      <c r="N18" s="33"/>
      <c r="O18" s="33"/>
      <c r="P18" s="33"/>
      <c r="Q18" s="33"/>
      <c r="R18" s="33"/>
      <c r="S18" s="33"/>
      <c r="T18" s="33"/>
      <c r="U18" s="33"/>
      <c r="V18" s="33"/>
      <c r="W18" s="33"/>
      <c r="X18" s="33"/>
      <c r="Y18" s="33"/>
      <c r="Z18" s="33"/>
      <c r="AA18" s="33"/>
      <c r="AB18" s="33"/>
      <c r="AC18" s="33"/>
      <c r="AD18" s="33"/>
      <c r="AE18" s="33"/>
      <c r="AF18" s="33"/>
      <c r="AG18" s="33"/>
      <c r="AH18" s="33"/>
      <c r="AI18" s="33"/>
      <c r="AJ18" s="33"/>
      <c r="AK18" s="33"/>
      <c r="AL18" s="33"/>
      <c r="AM18" s="33"/>
      <c r="AN18" s="33"/>
      <c r="AO18" s="33"/>
      <c r="AP18" s="33"/>
      <c r="AQ18" s="33"/>
      <c r="AR18" s="33"/>
      <c r="AS18" s="33"/>
      <c r="AT18" s="33"/>
      <c r="AU18" s="33"/>
      <c r="AV18" s="33"/>
      <c r="AW18" s="34"/>
    </row>
    <row r="19" spans="1:49" ht="15.75" thickBot="1" x14ac:dyDescent="0.3">
      <c r="A19" s="35" t="s">
        <v>17</v>
      </c>
      <c r="B19" s="24">
        <f>SUM(COUNTIF(B13:B18,"=AL*"))</f>
        <v>0</v>
      </c>
      <c r="C19" s="24">
        <f t="shared" ref="C19:AW19" si="3">SUM(COUNTIF(C13:C18,"=AL*"))</f>
        <v>0</v>
      </c>
      <c r="D19" s="24">
        <f t="shared" si="3"/>
        <v>0</v>
      </c>
      <c r="E19" s="24">
        <f t="shared" si="3"/>
        <v>0</v>
      </c>
      <c r="F19" s="24">
        <f t="shared" si="3"/>
        <v>0</v>
      </c>
      <c r="G19" s="24">
        <f t="shared" si="3"/>
        <v>0</v>
      </c>
      <c r="H19" s="24">
        <f t="shared" si="3"/>
        <v>2</v>
      </c>
      <c r="I19" s="24">
        <f t="shared" si="3"/>
        <v>2</v>
      </c>
      <c r="J19" s="24">
        <f t="shared" si="3"/>
        <v>2</v>
      </c>
      <c r="K19" s="24">
        <f t="shared" si="3"/>
        <v>2</v>
      </c>
      <c r="L19" s="24">
        <f t="shared" si="3"/>
        <v>2</v>
      </c>
      <c r="M19" s="24">
        <f t="shared" si="3"/>
        <v>2</v>
      </c>
      <c r="N19" s="24">
        <f t="shared" si="3"/>
        <v>0</v>
      </c>
      <c r="O19" s="24">
        <f t="shared" si="3"/>
        <v>0</v>
      </c>
      <c r="P19" s="24">
        <f t="shared" si="3"/>
        <v>0</v>
      </c>
      <c r="Q19" s="24">
        <f t="shared" si="3"/>
        <v>0</v>
      </c>
      <c r="R19" s="24">
        <f t="shared" si="3"/>
        <v>1</v>
      </c>
      <c r="S19" s="24">
        <f t="shared" si="3"/>
        <v>1</v>
      </c>
      <c r="T19" s="24">
        <f t="shared" si="3"/>
        <v>1</v>
      </c>
      <c r="U19" s="24">
        <f t="shared" si="3"/>
        <v>1</v>
      </c>
      <c r="V19" s="24">
        <f t="shared" si="3"/>
        <v>1</v>
      </c>
      <c r="W19" s="24">
        <f t="shared" si="3"/>
        <v>1</v>
      </c>
      <c r="X19" s="24">
        <f t="shared" si="3"/>
        <v>2</v>
      </c>
      <c r="Y19" s="24">
        <f t="shared" si="3"/>
        <v>2</v>
      </c>
      <c r="Z19" s="24">
        <f t="shared" si="3"/>
        <v>2</v>
      </c>
      <c r="AA19" s="24">
        <f t="shared" si="3"/>
        <v>0</v>
      </c>
      <c r="AB19" s="24">
        <f t="shared" si="3"/>
        <v>0</v>
      </c>
      <c r="AC19" s="24">
        <f t="shared" si="3"/>
        <v>0</v>
      </c>
      <c r="AD19" s="24">
        <f t="shared" si="3"/>
        <v>1</v>
      </c>
      <c r="AE19" s="24">
        <f t="shared" si="3"/>
        <v>1</v>
      </c>
      <c r="AF19" s="24">
        <f t="shared" si="3"/>
        <v>1</v>
      </c>
      <c r="AG19" s="24">
        <f t="shared" si="3"/>
        <v>1</v>
      </c>
      <c r="AH19" s="24">
        <f t="shared" si="3"/>
        <v>1</v>
      </c>
      <c r="AI19" s="24">
        <f t="shared" si="3"/>
        <v>1</v>
      </c>
      <c r="AJ19" s="24">
        <f t="shared" si="3"/>
        <v>2</v>
      </c>
      <c r="AK19" s="24">
        <f t="shared" si="3"/>
        <v>2</v>
      </c>
      <c r="AL19" s="24">
        <f t="shared" si="3"/>
        <v>2</v>
      </c>
      <c r="AM19" s="24">
        <f t="shared" si="3"/>
        <v>0</v>
      </c>
      <c r="AN19" s="24">
        <f t="shared" si="3"/>
        <v>0</v>
      </c>
      <c r="AO19" s="24">
        <f t="shared" si="3"/>
        <v>0</v>
      </c>
      <c r="AP19" s="24">
        <f t="shared" si="3"/>
        <v>0</v>
      </c>
      <c r="AQ19" s="24">
        <f t="shared" si="3"/>
        <v>2</v>
      </c>
      <c r="AR19" s="24">
        <f t="shared" si="3"/>
        <v>2</v>
      </c>
      <c r="AS19" s="24">
        <f t="shared" si="3"/>
        <v>2</v>
      </c>
      <c r="AT19" s="24">
        <f t="shared" si="3"/>
        <v>0</v>
      </c>
      <c r="AU19" s="24">
        <f t="shared" si="3"/>
        <v>0</v>
      </c>
      <c r="AV19" s="24">
        <f t="shared" si="3"/>
        <v>0</v>
      </c>
      <c r="AW19" s="25">
        <f t="shared" si="3"/>
        <v>0</v>
      </c>
    </row>
    <row r="20" spans="1:49" ht="15.75" thickBot="1" x14ac:dyDescent="0.3">
      <c r="A20" s="35" t="s">
        <v>18</v>
      </c>
      <c r="B20" s="24">
        <f>SUM(COUNTIF(B13:B18,"=Acar*"))</f>
        <v>0</v>
      </c>
      <c r="C20" s="24">
        <f t="shared" ref="C20:AW20" si="4">SUM(COUNTIF(C13:C18,"=Acar*"))</f>
        <v>0</v>
      </c>
      <c r="D20" s="24">
        <f t="shared" si="4"/>
        <v>0</v>
      </c>
      <c r="E20" s="24">
        <f t="shared" si="4"/>
        <v>0</v>
      </c>
      <c r="F20" s="24">
        <f t="shared" si="4"/>
        <v>0</v>
      </c>
      <c r="G20" s="24">
        <f t="shared" si="4"/>
        <v>0</v>
      </c>
      <c r="H20" s="24">
        <f t="shared" si="4"/>
        <v>0</v>
      </c>
      <c r="I20" s="24">
        <f t="shared" si="4"/>
        <v>0</v>
      </c>
      <c r="J20" s="24">
        <f t="shared" si="4"/>
        <v>0</v>
      </c>
      <c r="K20" s="24">
        <f t="shared" si="4"/>
        <v>0</v>
      </c>
      <c r="L20" s="24">
        <f t="shared" si="4"/>
        <v>0</v>
      </c>
      <c r="M20" s="24">
        <f t="shared" si="4"/>
        <v>0</v>
      </c>
      <c r="N20" s="24">
        <f t="shared" si="4"/>
        <v>0</v>
      </c>
      <c r="O20" s="24">
        <f t="shared" si="4"/>
        <v>0</v>
      </c>
      <c r="P20" s="24">
        <f t="shared" si="4"/>
        <v>0</v>
      </c>
      <c r="Q20" s="24">
        <f t="shared" si="4"/>
        <v>0</v>
      </c>
      <c r="R20" s="24">
        <f t="shared" si="4"/>
        <v>0</v>
      </c>
      <c r="S20" s="24">
        <f t="shared" si="4"/>
        <v>0</v>
      </c>
      <c r="T20" s="24">
        <f t="shared" si="4"/>
        <v>0</v>
      </c>
      <c r="U20" s="24">
        <f t="shared" si="4"/>
        <v>0</v>
      </c>
      <c r="V20" s="24">
        <f t="shared" si="4"/>
        <v>0</v>
      </c>
      <c r="W20" s="24">
        <f t="shared" si="4"/>
        <v>0</v>
      </c>
      <c r="X20" s="24">
        <f t="shared" si="4"/>
        <v>0</v>
      </c>
      <c r="Y20" s="24">
        <f t="shared" si="4"/>
        <v>0</v>
      </c>
      <c r="Z20" s="24">
        <f t="shared" si="4"/>
        <v>0</v>
      </c>
      <c r="AA20" s="24">
        <f t="shared" si="4"/>
        <v>0</v>
      </c>
      <c r="AB20" s="24">
        <f t="shared" si="4"/>
        <v>0</v>
      </c>
      <c r="AC20" s="24">
        <f t="shared" si="4"/>
        <v>0</v>
      </c>
      <c r="AD20" s="24">
        <f t="shared" si="4"/>
        <v>0</v>
      </c>
      <c r="AE20" s="24">
        <f t="shared" si="4"/>
        <v>0</v>
      </c>
      <c r="AF20" s="24">
        <f t="shared" si="4"/>
        <v>0</v>
      </c>
      <c r="AG20" s="24">
        <f t="shared" si="4"/>
        <v>0</v>
      </c>
      <c r="AH20" s="24">
        <f t="shared" si="4"/>
        <v>0</v>
      </c>
      <c r="AI20" s="24">
        <f t="shared" si="4"/>
        <v>0</v>
      </c>
      <c r="AJ20" s="24">
        <f t="shared" si="4"/>
        <v>0</v>
      </c>
      <c r="AK20" s="24">
        <f t="shared" si="4"/>
        <v>0</v>
      </c>
      <c r="AL20" s="24">
        <f t="shared" si="4"/>
        <v>0</v>
      </c>
      <c r="AM20" s="24">
        <f t="shared" si="4"/>
        <v>0</v>
      </c>
      <c r="AN20" s="24">
        <f t="shared" si="4"/>
        <v>0</v>
      </c>
      <c r="AO20" s="24">
        <f t="shared" si="4"/>
        <v>0</v>
      </c>
      <c r="AP20" s="24">
        <f t="shared" si="4"/>
        <v>0</v>
      </c>
      <c r="AQ20" s="24">
        <f t="shared" si="4"/>
        <v>0</v>
      </c>
      <c r="AR20" s="24">
        <f t="shared" si="4"/>
        <v>0</v>
      </c>
      <c r="AS20" s="24">
        <f t="shared" si="4"/>
        <v>0</v>
      </c>
      <c r="AT20" s="24">
        <f t="shared" si="4"/>
        <v>0</v>
      </c>
      <c r="AU20" s="24">
        <f t="shared" si="4"/>
        <v>0</v>
      </c>
      <c r="AV20" s="24">
        <f t="shared" si="4"/>
        <v>0</v>
      </c>
      <c r="AW20" s="25">
        <f t="shared" si="4"/>
        <v>0</v>
      </c>
    </row>
    <row r="21" spans="1:49" ht="15.75" thickBot="1" x14ac:dyDescent="0.3">
      <c r="A21" s="35" t="s">
        <v>2</v>
      </c>
      <c r="B21" s="22" t="str">
        <f>IF(B20=0, CONCATENATE(B19), CONCATENATE(B19, ",",B20))</f>
        <v>0</v>
      </c>
      <c r="C21" s="22" t="str">
        <f t="shared" ref="C21:AW21" si="5">IF(C20=0, CONCATENATE(C19), CONCATENATE(C19, ",",C20))</f>
        <v>0</v>
      </c>
      <c r="D21" s="22" t="str">
        <f t="shared" si="5"/>
        <v>0</v>
      </c>
      <c r="E21" s="22" t="str">
        <f t="shared" si="5"/>
        <v>0</v>
      </c>
      <c r="F21" s="22" t="str">
        <f t="shared" si="5"/>
        <v>0</v>
      </c>
      <c r="G21" s="22" t="str">
        <f t="shared" si="5"/>
        <v>0</v>
      </c>
      <c r="H21" s="22" t="str">
        <f t="shared" si="5"/>
        <v>2</v>
      </c>
      <c r="I21" s="22" t="str">
        <f t="shared" si="5"/>
        <v>2</v>
      </c>
      <c r="J21" s="22" t="str">
        <f t="shared" si="5"/>
        <v>2</v>
      </c>
      <c r="K21" s="22" t="str">
        <f t="shared" si="5"/>
        <v>2</v>
      </c>
      <c r="L21" s="22" t="str">
        <f t="shared" si="5"/>
        <v>2</v>
      </c>
      <c r="M21" s="22" t="str">
        <f t="shared" si="5"/>
        <v>2</v>
      </c>
      <c r="N21" s="22" t="str">
        <f t="shared" si="5"/>
        <v>0</v>
      </c>
      <c r="O21" s="22" t="str">
        <f t="shared" si="5"/>
        <v>0</v>
      </c>
      <c r="P21" s="22" t="str">
        <f t="shared" si="5"/>
        <v>0</v>
      </c>
      <c r="Q21" s="22" t="str">
        <f t="shared" si="5"/>
        <v>0</v>
      </c>
      <c r="R21" s="22" t="str">
        <f t="shared" si="5"/>
        <v>1</v>
      </c>
      <c r="S21" s="22" t="str">
        <f t="shared" si="5"/>
        <v>1</v>
      </c>
      <c r="T21" s="22" t="str">
        <f t="shared" si="5"/>
        <v>1</v>
      </c>
      <c r="U21" s="22" t="str">
        <f t="shared" si="5"/>
        <v>1</v>
      </c>
      <c r="V21" s="22" t="str">
        <f t="shared" si="5"/>
        <v>1</v>
      </c>
      <c r="W21" s="22" t="str">
        <f t="shared" si="5"/>
        <v>1</v>
      </c>
      <c r="X21" s="22" t="str">
        <f t="shared" si="5"/>
        <v>2</v>
      </c>
      <c r="Y21" s="22" t="str">
        <f t="shared" si="5"/>
        <v>2</v>
      </c>
      <c r="Z21" s="22" t="str">
        <f t="shared" si="5"/>
        <v>2</v>
      </c>
      <c r="AA21" s="22" t="str">
        <f t="shared" si="5"/>
        <v>0</v>
      </c>
      <c r="AB21" s="22" t="str">
        <f t="shared" si="5"/>
        <v>0</v>
      </c>
      <c r="AC21" s="22" t="str">
        <f t="shared" si="5"/>
        <v>0</v>
      </c>
      <c r="AD21" s="22" t="str">
        <f t="shared" si="5"/>
        <v>1</v>
      </c>
      <c r="AE21" s="22" t="str">
        <f t="shared" si="5"/>
        <v>1</v>
      </c>
      <c r="AF21" s="22" t="str">
        <f t="shared" si="5"/>
        <v>1</v>
      </c>
      <c r="AG21" s="22" t="str">
        <f t="shared" si="5"/>
        <v>1</v>
      </c>
      <c r="AH21" s="22" t="str">
        <f t="shared" si="5"/>
        <v>1</v>
      </c>
      <c r="AI21" s="22" t="str">
        <f t="shared" si="5"/>
        <v>1</v>
      </c>
      <c r="AJ21" s="22" t="str">
        <f t="shared" si="5"/>
        <v>2</v>
      </c>
      <c r="AK21" s="22" t="str">
        <f t="shared" si="5"/>
        <v>2</v>
      </c>
      <c r="AL21" s="22" t="str">
        <f t="shared" si="5"/>
        <v>2</v>
      </c>
      <c r="AM21" s="22" t="str">
        <f t="shared" si="5"/>
        <v>0</v>
      </c>
      <c r="AN21" s="22" t="str">
        <f t="shared" si="5"/>
        <v>0</v>
      </c>
      <c r="AO21" s="22" t="str">
        <f t="shared" si="5"/>
        <v>0</v>
      </c>
      <c r="AP21" s="22" t="str">
        <f t="shared" si="5"/>
        <v>0</v>
      </c>
      <c r="AQ21" s="22" t="str">
        <f t="shared" si="5"/>
        <v>2</v>
      </c>
      <c r="AR21" s="22" t="str">
        <f t="shared" si="5"/>
        <v>2</v>
      </c>
      <c r="AS21" s="22" t="str">
        <f t="shared" si="5"/>
        <v>2</v>
      </c>
      <c r="AT21" s="22" t="str">
        <f t="shared" si="5"/>
        <v>0</v>
      </c>
      <c r="AU21" s="22" t="str">
        <f t="shared" si="5"/>
        <v>0</v>
      </c>
      <c r="AV21" s="22" t="str">
        <f t="shared" si="5"/>
        <v>0</v>
      </c>
      <c r="AW21" s="23" t="str">
        <f t="shared" si="5"/>
        <v>0</v>
      </c>
    </row>
    <row r="22" spans="1:49" ht="15.75" thickBot="1" x14ac:dyDescent="0.3">
      <c r="A22" s="35" t="s">
        <v>19</v>
      </c>
      <c r="B22" s="21" t="str">
        <f>IF(SUM(B10,B20) = 0, CONCATENATE(SUM(B9+B19)), CONCATENATE(SUM(B9,B19), ",", SUM(B10,B20)))</f>
        <v>6</v>
      </c>
      <c r="C22" s="21" t="str">
        <f t="shared" ref="C22:AW22" si="6">IF(SUM(C10,C20) = 0, CONCATENATE(SUM(C9+C19)), CONCATENATE(SUM(C9,C19), ",", SUM(C10,C20)))</f>
        <v>6</v>
      </c>
      <c r="D22" s="21" t="str">
        <f t="shared" si="6"/>
        <v>6</v>
      </c>
      <c r="E22" s="21" t="str">
        <f t="shared" si="6"/>
        <v>6</v>
      </c>
      <c r="F22" s="21" t="str">
        <f t="shared" si="6"/>
        <v>6</v>
      </c>
      <c r="G22" s="21" t="str">
        <f t="shared" si="6"/>
        <v>6</v>
      </c>
      <c r="H22" s="21" t="str">
        <f t="shared" si="6"/>
        <v>6</v>
      </c>
      <c r="I22" s="21" t="str">
        <f t="shared" si="6"/>
        <v>6</v>
      </c>
      <c r="J22" s="21" t="str">
        <f t="shared" si="6"/>
        <v>6</v>
      </c>
      <c r="K22" s="21" t="str">
        <f t="shared" si="6"/>
        <v>6</v>
      </c>
      <c r="L22" s="21" t="str">
        <f t="shared" si="6"/>
        <v>6</v>
      </c>
      <c r="M22" s="21" t="str">
        <f t="shared" si="6"/>
        <v>6</v>
      </c>
      <c r="N22" s="21" t="str">
        <f t="shared" si="6"/>
        <v>6</v>
      </c>
      <c r="O22" s="21" t="str">
        <f t="shared" si="6"/>
        <v>6</v>
      </c>
      <c r="P22" s="21" t="str">
        <f t="shared" si="6"/>
        <v>6</v>
      </c>
      <c r="Q22" s="21" t="str">
        <f t="shared" si="6"/>
        <v>6</v>
      </c>
      <c r="R22" s="21" t="str">
        <f t="shared" si="6"/>
        <v>5</v>
      </c>
      <c r="S22" s="21" t="str">
        <f t="shared" si="6"/>
        <v>5</v>
      </c>
      <c r="T22" s="21" t="str">
        <f t="shared" si="6"/>
        <v>5</v>
      </c>
      <c r="U22" s="21" t="str">
        <f t="shared" si="6"/>
        <v>5</v>
      </c>
      <c r="V22" s="21" t="str">
        <f t="shared" si="6"/>
        <v>5</v>
      </c>
      <c r="W22" s="21" t="str">
        <f t="shared" si="6"/>
        <v>5</v>
      </c>
      <c r="X22" s="21" t="str">
        <f t="shared" si="6"/>
        <v>6</v>
      </c>
      <c r="Y22" s="21" t="str">
        <f t="shared" si="6"/>
        <v>6</v>
      </c>
      <c r="Z22" s="21" t="str">
        <f t="shared" si="6"/>
        <v>6</v>
      </c>
      <c r="AA22" s="21" t="str">
        <f t="shared" si="6"/>
        <v>6</v>
      </c>
      <c r="AB22" s="21" t="str">
        <f t="shared" si="6"/>
        <v>6</v>
      </c>
      <c r="AC22" s="21" t="str">
        <f t="shared" si="6"/>
        <v>6</v>
      </c>
      <c r="AD22" s="21" t="str">
        <f t="shared" si="6"/>
        <v>5</v>
      </c>
      <c r="AE22" s="21" t="str">
        <f t="shared" si="6"/>
        <v>5</v>
      </c>
      <c r="AF22" s="21" t="str">
        <f t="shared" si="6"/>
        <v>5</v>
      </c>
      <c r="AG22" s="21" t="str">
        <f t="shared" si="6"/>
        <v>5</v>
      </c>
      <c r="AH22" s="21" t="str">
        <f t="shared" si="6"/>
        <v>5</v>
      </c>
      <c r="AI22" s="21" t="str">
        <f t="shared" si="6"/>
        <v>5</v>
      </c>
      <c r="AJ22" s="21" t="str">
        <f t="shared" si="6"/>
        <v>6</v>
      </c>
      <c r="AK22" s="21" t="str">
        <f t="shared" si="6"/>
        <v>6</v>
      </c>
      <c r="AL22" s="21" t="str">
        <f t="shared" si="6"/>
        <v>6</v>
      </c>
      <c r="AM22" s="21" t="str">
        <f t="shared" si="6"/>
        <v>6</v>
      </c>
      <c r="AN22" s="21" t="str">
        <f t="shared" si="6"/>
        <v>6</v>
      </c>
      <c r="AO22" s="21" t="str">
        <f t="shared" si="6"/>
        <v>6</v>
      </c>
      <c r="AP22" s="21" t="str">
        <f t="shared" si="6"/>
        <v>6</v>
      </c>
      <c r="AQ22" s="21" t="str">
        <f t="shared" si="6"/>
        <v>6</v>
      </c>
      <c r="AR22" s="21" t="str">
        <f t="shared" si="6"/>
        <v>6</v>
      </c>
      <c r="AS22" s="21" t="str">
        <f t="shared" si="6"/>
        <v>6</v>
      </c>
      <c r="AT22" s="21" t="str">
        <f t="shared" si="6"/>
        <v>6</v>
      </c>
      <c r="AU22" s="21" t="str">
        <f t="shared" si="6"/>
        <v>6</v>
      </c>
      <c r="AV22" s="21" t="str">
        <f t="shared" si="6"/>
        <v>6</v>
      </c>
      <c r="AW22" s="39" t="str">
        <f t="shared" si="6"/>
        <v>6</v>
      </c>
    </row>
  </sheetData>
  <mergeCells count="2">
    <mergeCell ref="A2:AW2"/>
    <mergeCell ref="A12:AW12"/>
  </mergeCells>
  <conditionalFormatting sqref="B3:AW10 B13:AW20">
    <cfRule type="cellIs" dxfId="47" priority="1" operator="equal">
      <formula>"AL1"</formula>
    </cfRule>
    <cfRule type="cellIs" dxfId="46" priority="2" operator="equal">
      <formula>"Acar1"</formula>
    </cfRule>
    <cfRule type="cellIs" dxfId="45" priority="3" operator="equal">
      <formula>"AL2"</formula>
    </cfRule>
    <cfRule type="cellIs" dxfId="44" priority="4" operator="equal">
      <formula>"Acar2"</formula>
    </cfRule>
    <cfRule type="cellIs" dxfId="43" priority="5" operator="equal">
      <formula>"AL3"</formula>
    </cfRule>
    <cfRule type="cellIs" dxfId="42" priority="6" operator="equal">
      <formula>"Acar3"</formula>
    </cfRule>
    <cfRule type="cellIs" dxfId="41" priority="7" operator="equal">
      <formula>"AL4"</formula>
    </cfRule>
    <cfRule type="cellIs" dxfId="40" priority="8" operator="equal">
      <formula>"Acar4"</formula>
    </cfRule>
    <cfRule type="cellIs" dxfId="39" priority="9" operator="equal">
      <formula>"AL5"</formula>
    </cfRule>
    <cfRule type="cellIs" dxfId="38" priority="10" operator="equal">
      <formula>"Acar5"</formula>
    </cfRule>
    <cfRule type="cellIs" dxfId="37" priority="11" operator="equal">
      <formula>"AL6"</formula>
    </cfRule>
    <cfRule type="cellIs" dxfId="36" priority="12" operator="equal">
      <formula>"Acar6"</formula>
    </cfRule>
  </conditionalFormatting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4CC08741-475D-4DEB-B5DC-B5E6FC442566}">
          <x14:formula1>
            <xm:f>List!$F$2:$F$19</xm:f>
          </x14:formula1>
          <xm:sqref>B13:AW18 B3:AW8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3B4E92-A88E-483D-A18F-E4F7F6A5B39A}">
  <dimension ref="A1:AW22"/>
  <sheetViews>
    <sheetView zoomScale="85" zoomScaleNormal="85" workbookViewId="0">
      <pane xSplit="1" ySplit="2" topLeftCell="B3" activePane="bottomRight" state="frozen"/>
      <selection pane="topRight" activeCell="C1" sqref="C1"/>
      <selection pane="bottomLeft" activeCell="A6" sqref="A6"/>
      <selection pane="bottomRight" activeCell="J30" sqref="J30"/>
    </sheetView>
  </sheetViews>
  <sheetFormatPr defaultRowHeight="15" x14ac:dyDescent="0.25"/>
  <cols>
    <col min="1" max="1" width="12.28515625" bestFit="1" customWidth="1"/>
    <col min="2" max="2" width="8.140625" bestFit="1" customWidth="1"/>
    <col min="3" max="3" width="7.7109375" bestFit="1" customWidth="1"/>
    <col min="4" max="6" width="8.140625" bestFit="1" customWidth="1"/>
    <col min="7" max="7" width="7.7109375" bestFit="1" customWidth="1"/>
    <col min="8" max="10" width="8.140625" bestFit="1" customWidth="1"/>
    <col min="11" max="11" width="7.7109375" bestFit="1" customWidth="1"/>
    <col min="12" max="13" width="8.140625" bestFit="1" customWidth="1"/>
    <col min="14" max="14" width="7.7109375" bestFit="1" customWidth="1"/>
    <col min="15" max="15" width="7.28515625" bestFit="1" customWidth="1"/>
    <col min="16" max="17" width="7.7109375" bestFit="1" customWidth="1"/>
    <col min="18" max="18" width="8.140625" bestFit="1" customWidth="1"/>
    <col min="19" max="19" width="7.7109375" bestFit="1" customWidth="1"/>
    <col min="20" max="22" width="8.140625" bestFit="1" customWidth="1"/>
    <col min="23" max="23" width="7.7109375" bestFit="1" customWidth="1"/>
    <col min="24" max="26" width="8.140625" bestFit="1" customWidth="1"/>
    <col min="27" max="27" width="7.7109375" bestFit="1" customWidth="1"/>
    <col min="28" max="30" width="8.140625" bestFit="1" customWidth="1"/>
    <col min="31" max="31" width="7.7109375" bestFit="1" customWidth="1"/>
    <col min="32" max="34" width="8.140625" bestFit="1" customWidth="1"/>
    <col min="35" max="35" width="7.7109375" bestFit="1" customWidth="1"/>
    <col min="36" max="38" width="8.140625" bestFit="1" customWidth="1"/>
    <col min="39" max="39" width="7.7109375" bestFit="1" customWidth="1"/>
    <col min="40" max="42" width="8.140625" bestFit="1" customWidth="1"/>
    <col min="43" max="43" width="7.7109375" bestFit="1" customWidth="1"/>
    <col min="44" max="46" width="8.140625" bestFit="1" customWidth="1"/>
    <col min="47" max="47" width="7.7109375" bestFit="1" customWidth="1"/>
    <col min="48" max="49" width="8.140625" bestFit="1" customWidth="1"/>
  </cols>
  <sheetData>
    <row r="1" spans="1:49" ht="15.75" thickBot="1" x14ac:dyDescent="0.3">
      <c r="A1" s="36" t="s">
        <v>0</v>
      </c>
      <c r="B1" s="1">
        <v>0.41666666666666669</v>
      </c>
      <c r="C1" s="2">
        <v>0.42708333333333331</v>
      </c>
      <c r="D1" s="2">
        <v>0.4375</v>
      </c>
      <c r="E1" s="2">
        <v>0.44791666666666702</v>
      </c>
      <c r="F1" s="1">
        <v>0.45833333333333298</v>
      </c>
      <c r="G1" s="2">
        <v>0.46875</v>
      </c>
      <c r="H1" s="2">
        <v>0.47916666666666602</v>
      </c>
      <c r="I1" s="3">
        <v>0.48958333333333298</v>
      </c>
      <c r="J1" s="1">
        <v>0.5</v>
      </c>
      <c r="K1" s="2">
        <v>0.51041666666666596</v>
      </c>
      <c r="L1" s="2">
        <v>0.52083333333333304</v>
      </c>
      <c r="M1" s="2">
        <v>0.53125</v>
      </c>
      <c r="N1" s="1">
        <v>0.54166666666666696</v>
      </c>
      <c r="O1" s="2">
        <v>0.55208333333333304</v>
      </c>
      <c r="P1" s="2">
        <v>0.5625</v>
      </c>
      <c r="Q1" s="2">
        <v>0.57291666666666596</v>
      </c>
      <c r="R1" s="1">
        <v>0.58333333333333304</v>
      </c>
      <c r="S1" s="2">
        <v>0.59375</v>
      </c>
      <c r="T1" s="2">
        <v>0.60416666666666596</v>
      </c>
      <c r="U1" s="2">
        <v>0.61458333333333304</v>
      </c>
      <c r="V1" s="1">
        <v>0.625</v>
      </c>
      <c r="W1" s="2">
        <v>0.63541666666666596</v>
      </c>
      <c r="X1" s="2">
        <v>0.64583333333333304</v>
      </c>
      <c r="Y1" s="2">
        <v>0.656249999999999</v>
      </c>
      <c r="Z1" s="1">
        <v>0.66666666666666596</v>
      </c>
      <c r="AA1" s="2">
        <v>0.67708333333333304</v>
      </c>
      <c r="AB1" s="2">
        <v>0.687499999999999</v>
      </c>
      <c r="AC1" s="2">
        <v>0.69791666666666596</v>
      </c>
      <c r="AD1" s="1">
        <v>0.70833333333333304</v>
      </c>
      <c r="AE1" s="2">
        <v>0.718749999999999</v>
      </c>
      <c r="AF1" s="2">
        <v>0.72916666666666596</v>
      </c>
      <c r="AG1" s="2">
        <v>0.73958333333333304</v>
      </c>
      <c r="AH1" s="1">
        <v>0.749999999999999</v>
      </c>
      <c r="AI1" s="2">
        <v>0.76041666666666596</v>
      </c>
      <c r="AJ1" s="2">
        <v>0.77083333333333204</v>
      </c>
      <c r="AK1" s="2">
        <v>0.781249999999999</v>
      </c>
      <c r="AL1" s="1">
        <v>0.79166666666666596</v>
      </c>
      <c r="AM1" s="2">
        <v>0.80208333333333204</v>
      </c>
      <c r="AN1" s="2">
        <v>0.812499999999999</v>
      </c>
      <c r="AO1" s="2">
        <v>0.82291666666666596</v>
      </c>
      <c r="AP1" s="1">
        <v>0.83333333333333204</v>
      </c>
      <c r="AQ1" s="2">
        <v>0.843749999999999</v>
      </c>
      <c r="AR1" s="2">
        <v>0.85416666666666496</v>
      </c>
      <c r="AS1" s="2">
        <v>0.86458333333333204</v>
      </c>
      <c r="AT1" s="1">
        <v>0.874999999999999</v>
      </c>
      <c r="AU1" s="2">
        <v>0.88541666666666496</v>
      </c>
      <c r="AV1" s="2">
        <v>0.89583333333333204</v>
      </c>
      <c r="AW1" s="3">
        <v>0.906249999999999</v>
      </c>
    </row>
    <row r="2" spans="1:49" ht="15.75" thickBot="1" x14ac:dyDescent="0.3">
      <c r="A2" s="44" t="s">
        <v>15</v>
      </c>
      <c r="B2" s="45"/>
      <c r="C2" s="45"/>
      <c r="D2" s="45"/>
      <c r="E2" s="45"/>
      <c r="F2" s="45"/>
      <c r="G2" s="45"/>
      <c r="H2" s="45"/>
      <c r="I2" s="45"/>
      <c r="J2" s="45"/>
      <c r="K2" s="45"/>
      <c r="L2" s="45"/>
      <c r="M2" s="45"/>
      <c r="N2" s="45"/>
      <c r="O2" s="45"/>
      <c r="P2" s="45"/>
      <c r="Q2" s="45"/>
      <c r="R2" s="45"/>
      <c r="S2" s="45"/>
      <c r="T2" s="45"/>
      <c r="U2" s="45"/>
      <c r="V2" s="45"/>
      <c r="W2" s="45"/>
      <c r="X2" s="45"/>
      <c r="Y2" s="45"/>
      <c r="Z2" s="45"/>
      <c r="AA2" s="45"/>
      <c r="AB2" s="45"/>
      <c r="AC2" s="45"/>
      <c r="AD2" s="45"/>
      <c r="AE2" s="45"/>
      <c r="AF2" s="45"/>
      <c r="AG2" s="45"/>
      <c r="AH2" s="45"/>
      <c r="AI2" s="45"/>
      <c r="AJ2" s="45"/>
      <c r="AK2" s="45"/>
      <c r="AL2" s="45"/>
      <c r="AM2" s="45"/>
      <c r="AN2" s="45"/>
      <c r="AO2" s="45"/>
      <c r="AP2" s="45"/>
      <c r="AQ2" s="45"/>
      <c r="AR2" s="45"/>
      <c r="AS2" s="45"/>
      <c r="AT2" s="45"/>
      <c r="AU2" s="45"/>
      <c r="AV2" s="45"/>
      <c r="AW2" s="46"/>
    </row>
    <row r="3" spans="1:49" x14ac:dyDescent="0.25">
      <c r="A3" s="7" t="s">
        <v>22</v>
      </c>
      <c r="B3" s="27" t="s">
        <v>22</v>
      </c>
      <c r="C3" s="28" t="s">
        <v>22</v>
      </c>
      <c r="D3" s="28" t="s">
        <v>22</v>
      </c>
      <c r="E3" s="28" t="s">
        <v>22</v>
      </c>
      <c r="F3" s="28" t="s">
        <v>22</v>
      </c>
      <c r="G3" s="28" t="s">
        <v>22</v>
      </c>
      <c r="H3" s="28" t="s">
        <v>3</v>
      </c>
      <c r="I3" s="28" t="s">
        <v>3</v>
      </c>
      <c r="J3" s="28" t="s">
        <v>22</v>
      </c>
      <c r="K3" s="28" t="s">
        <v>22</v>
      </c>
      <c r="L3" s="28" t="s">
        <v>22</v>
      </c>
      <c r="M3" s="28" t="s">
        <v>22</v>
      </c>
      <c r="N3" s="28" t="s">
        <v>22</v>
      </c>
      <c r="O3" s="28" t="s">
        <v>22</v>
      </c>
      <c r="P3" s="28" t="s">
        <v>22</v>
      </c>
      <c r="Q3" s="28" t="s">
        <v>22</v>
      </c>
      <c r="R3" s="28" t="s">
        <v>3</v>
      </c>
      <c r="S3" s="28" t="s">
        <v>3</v>
      </c>
      <c r="T3" s="28" t="s">
        <v>3</v>
      </c>
      <c r="U3" s="28" t="s">
        <v>22</v>
      </c>
      <c r="V3" s="28" t="s">
        <v>22</v>
      </c>
      <c r="W3" s="28" t="s">
        <v>22</v>
      </c>
      <c r="X3" s="28" t="s">
        <v>22</v>
      </c>
      <c r="Y3" s="28" t="s">
        <v>22</v>
      </c>
      <c r="Z3" s="28" t="s">
        <v>22</v>
      </c>
      <c r="AA3" s="28" t="s">
        <v>22</v>
      </c>
      <c r="AB3" s="28" t="s">
        <v>22</v>
      </c>
      <c r="AC3" s="28" t="s">
        <v>22</v>
      </c>
      <c r="AD3" s="28" t="s">
        <v>3</v>
      </c>
      <c r="AE3" s="28" t="s">
        <v>3</v>
      </c>
      <c r="AF3" s="28" t="s">
        <v>3</v>
      </c>
      <c r="AG3" s="28" t="s">
        <v>22</v>
      </c>
      <c r="AH3" s="28" t="s">
        <v>22</v>
      </c>
      <c r="AI3" s="28" t="s">
        <v>22</v>
      </c>
      <c r="AJ3" s="28" t="s">
        <v>22</v>
      </c>
      <c r="AK3" s="28" t="s">
        <v>22</v>
      </c>
      <c r="AL3" s="28" t="s">
        <v>22</v>
      </c>
      <c r="AM3" s="28" t="s">
        <v>22</v>
      </c>
      <c r="AN3" s="28" t="s">
        <v>22</v>
      </c>
      <c r="AO3" s="28" t="s">
        <v>22</v>
      </c>
      <c r="AP3" s="28" t="s">
        <v>22</v>
      </c>
      <c r="AQ3" s="28" t="s">
        <v>3</v>
      </c>
      <c r="AR3" s="28" t="s">
        <v>22</v>
      </c>
      <c r="AS3" s="28" t="s">
        <v>22</v>
      </c>
      <c r="AT3" s="28" t="s">
        <v>22</v>
      </c>
      <c r="AU3" s="28" t="s">
        <v>22</v>
      </c>
      <c r="AV3" s="28" t="s">
        <v>22</v>
      </c>
      <c r="AW3" s="29" t="s">
        <v>22</v>
      </c>
    </row>
    <row r="4" spans="1:49" x14ac:dyDescent="0.25">
      <c r="A4" s="8" t="s">
        <v>23</v>
      </c>
      <c r="B4" s="30" t="s">
        <v>23</v>
      </c>
      <c r="C4" s="26" t="s">
        <v>23</v>
      </c>
      <c r="D4" s="26" t="s">
        <v>23</v>
      </c>
      <c r="E4" s="26" t="s">
        <v>23</v>
      </c>
      <c r="F4" s="26" t="s">
        <v>23</v>
      </c>
      <c r="G4" s="26" t="s">
        <v>23</v>
      </c>
      <c r="H4" s="26" t="s">
        <v>3</v>
      </c>
      <c r="I4" s="26" t="s">
        <v>3</v>
      </c>
      <c r="J4" s="26" t="s">
        <v>23</v>
      </c>
      <c r="K4" s="26" t="s">
        <v>23</v>
      </c>
      <c r="L4" s="26" t="s">
        <v>23</v>
      </c>
      <c r="M4" s="26" t="s">
        <v>23</v>
      </c>
      <c r="N4" s="26" t="s">
        <v>23</v>
      </c>
      <c r="O4" s="26" t="s">
        <v>23</v>
      </c>
      <c r="P4" s="26" t="s">
        <v>23</v>
      </c>
      <c r="Q4" s="26" t="s">
        <v>23</v>
      </c>
      <c r="R4" s="26" t="s">
        <v>3</v>
      </c>
      <c r="S4" s="26" t="s">
        <v>3</v>
      </c>
      <c r="T4" s="26" t="s">
        <v>3</v>
      </c>
      <c r="U4" s="26" t="s">
        <v>23</v>
      </c>
      <c r="V4" s="26" t="s">
        <v>23</v>
      </c>
      <c r="W4" s="26" t="s">
        <v>23</v>
      </c>
      <c r="X4" s="26" t="s">
        <v>23</v>
      </c>
      <c r="Y4" s="26" t="s">
        <v>23</v>
      </c>
      <c r="Z4" s="26" t="s">
        <v>23</v>
      </c>
      <c r="AA4" s="26" t="s">
        <v>23</v>
      </c>
      <c r="AB4" s="26" t="s">
        <v>23</v>
      </c>
      <c r="AC4" s="26" t="s">
        <v>23</v>
      </c>
      <c r="AD4" s="26" t="s">
        <v>3</v>
      </c>
      <c r="AE4" s="26" t="s">
        <v>3</v>
      </c>
      <c r="AF4" s="26" t="s">
        <v>3</v>
      </c>
      <c r="AG4" s="26" t="s">
        <v>23</v>
      </c>
      <c r="AH4" s="26" t="s">
        <v>23</v>
      </c>
      <c r="AI4" s="26" t="s">
        <v>23</v>
      </c>
      <c r="AJ4" s="26" t="s">
        <v>23</v>
      </c>
      <c r="AK4" s="26" t="s">
        <v>23</v>
      </c>
      <c r="AL4" s="26" t="s">
        <v>23</v>
      </c>
      <c r="AM4" s="26" t="s">
        <v>23</v>
      </c>
      <c r="AN4" s="26" t="s">
        <v>23</v>
      </c>
      <c r="AO4" s="26" t="s">
        <v>23</v>
      </c>
      <c r="AP4" s="26" t="s">
        <v>23</v>
      </c>
      <c r="AQ4" s="26" t="s">
        <v>3</v>
      </c>
      <c r="AR4" s="26" t="s">
        <v>23</v>
      </c>
      <c r="AS4" s="26" t="s">
        <v>23</v>
      </c>
      <c r="AT4" s="26" t="s">
        <v>23</v>
      </c>
      <c r="AU4" s="26" t="s">
        <v>23</v>
      </c>
      <c r="AV4" s="26" t="s">
        <v>23</v>
      </c>
      <c r="AW4" s="31" t="s">
        <v>23</v>
      </c>
    </row>
    <row r="5" spans="1:49" x14ac:dyDescent="0.25">
      <c r="A5" s="8" t="s">
        <v>24</v>
      </c>
      <c r="B5" s="30" t="s">
        <v>24</v>
      </c>
      <c r="C5" s="26" t="s">
        <v>24</v>
      </c>
      <c r="D5" s="26" t="s">
        <v>24</v>
      </c>
      <c r="E5" s="26" t="s">
        <v>24</v>
      </c>
      <c r="F5" s="26" t="s">
        <v>24</v>
      </c>
      <c r="G5" s="26" t="s">
        <v>24</v>
      </c>
      <c r="H5" s="26" t="s">
        <v>24</v>
      </c>
      <c r="I5" s="26" t="s">
        <v>24</v>
      </c>
      <c r="J5" s="26" t="s">
        <v>3</v>
      </c>
      <c r="K5" s="26" t="s">
        <v>3</v>
      </c>
      <c r="L5" s="26" t="s">
        <v>24</v>
      </c>
      <c r="M5" s="26" t="s">
        <v>24</v>
      </c>
      <c r="N5" s="26" t="s">
        <v>24</v>
      </c>
      <c r="O5" s="26" t="s">
        <v>24</v>
      </c>
      <c r="P5" s="26" t="s">
        <v>24</v>
      </c>
      <c r="Q5" s="26" t="s">
        <v>24</v>
      </c>
      <c r="R5" s="26" t="s">
        <v>24</v>
      </c>
      <c r="S5" s="26" t="s">
        <v>24</v>
      </c>
      <c r="T5" s="26" t="s">
        <v>24</v>
      </c>
      <c r="U5" s="26" t="s">
        <v>3</v>
      </c>
      <c r="V5" s="26" t="s">
        <v>3</v>
      </c>
      <c r="W5" s="26" t="s">
        <v>3</v>
      </c>
      <c r="X5" s="26" t="s">
        <v>24</v>
      </c>
      <c r="Y5" s="26" t="s">
        <v>24</v>
      </c>
      <c r="Z5" s="26" t="s">
        <v>24</v>
      </c>
      <c r="AA5" s="26" t="s">
        <v>24</v>
      </c>
      <c r="AB5" s="26" t="s">
        <v>24</v>
      </c>
      <c r="AC5" s="26" t="s">
        <v>24</v>
      </c>
      <c r="AD5" s="26" t="s">
        <v>24</v>
      </c>
      <c r="AE5" s="26" t="s">
        <v>24</v>
      </c>
      <c r="AF5" s="26" t="s">
        <v>24</v>
      </c>
      <c r="AG5" s="26" t="s">
        <v>3</v>
      </c>
      <c r="AH5" s="26" t="s">
        <v>3</v>
      </c>
      <c r="AI5" s="26" t="s">
        <v>3</v>
      </c>
      <c r="AJ5" s="26" t="s">
        <v>24</v>
      </c>
      <c r="AK5" s="26" t="s">
        <v>24</v>
      </c>
      <c r="AL5" s="26" t="s">
        <v>24</v>
      </c>
      <c r="AM5" s="26" t="s">
        <v>24</v>
      </c>
      <c r="AN5" s="26" t="s">
        <v>24</v>
      </c>
      <c r="AO5" s="26" t="s">
        <v>24</v>
      </c>
      <c r="AP5" s="26" t="s">
        <v>24</v>
      </c>
      <c r="AQ5" s="26" t="s">
        <v>24</v>
      </c>
      <c r="AR5" s="26" t="s">
        <v>3</v>
      </c>
      <c r="AS5" s="26" t="s">
        <v>24</v>
      </c>
      <c r="AT5" s="26" t="s">
        <v>24</v>
      </c>
      <c r="AU5" s="26" t="s">
        <v>24</v>
      </c>
      <c r="AV5" s="26" t="s">
        <v>24</v>
      </c>
      <c r="AW5" s="31" t="s">
        <v>24</v>
      </c>
    </row>
    <row r="6" spans="1:49" x14ac:dyDescent="0.25">
      <c r="A6" s="8" t="s">
        <v>25</v>
      </c>
      <c r="B6" s="30" t="s">
        <v>25</v>
      </c>
      <c r="C6" s="26" t="s">
        <v>25</v>
      </c>
      <c r="D6" s="26" t="s">
        <v>25</v>
      </c>
      <c r="E6" s="26" t="s">
        <v>25</v>
      </c>
      <c r="F6" s="26" t="s">
        <v>25</v>
      </c>
      <c r="G6" s="26" t="s">
        <v>25</v>
      </c>
      <c r="H6" s="26" t="s">
        <v>25</v>
      </c>
      <c r="I6" s="26" t="s">
        <v>25</v>
      </c>
      <c r="J6" s="26" t="s">
        <v>3</v>
      </c>
      <c r="K6" s="26" t="s">
        <v>3</v>
      </c>
      <c r="L6" s="26" t="s">
        <v>25</v>
      </c>
      <c r="M6" s="26" t="s">
        <v>25</v>
      </c>
      <c r="N6" s="26" t="s">
        <v>25</v>
      </c>
      <c r="O6" s="26" t="s">
        <v>25</v>
      </c>
      <c r="P6" s="26" t="s">
        <v>25</v>
      </c>
      <c r="Q6" s="26" t="s">
        <v>25</v>
      </c>
      <c r="R6" s="26" t="s">
        <v>25</v>
      </c>
      <c r="S6" s="26" t="s">
        <v>25</v>
      </c>
      <c r="T6" s="26" t="s">
        <v>25</v>
      </c>
      <c r="U6" s="26" t="s">
        <v>3</v>
      </c>
      <c r="V6" s="26" t="s">
        <v>3</v>
      </c>
      <c r="W6" s="26" t="s">
        <v>3</v>
      </c>
      <c r="X6" s="26" t="s">
        <v>25</v>
      </c>
      <c r="Y6" s="26" t="s">
        <v>25</v>
      </c>
      <c r="Z6" s="26" t="s">
        <v>25</v>
      </c>
      <c r="AA6" s="26" t="s">
        <v>25</v>
      </c>
      <c r="AB6" s="26" t="s">
        <v>25</v>
      </c>
      <c r="AC6" s="26" t="s">
        <v>25</v>
      </c>
      <c r="AD6" s="26" t="s">
        <v>25</v>
      </c>
      <c r="AE6" s="26" t="s">
        <v>25</v>
      </c>
      <c r="AF6" s="26" t="s">
        <v>25</v>
      </c>
      <c r="AG6" s="26" t="s">
        <v>3</v>
      </c>
      <c r="AH6" s="26" t="s">
        <v>3</v>
      </c>
      <c r="AI6" s="26" t="s">
        <v>3</v>
      </c>
      <c r="AJ6" s="26" t="s">
        <v>25</v>
      </c>
      <c r="AK6" s="26" t="s">
        <v>25</v>
      </c>
      <c r="AL6" s="26" t="s">
        <v>25</v>
      </c>
      <c r="AM6" s="26" t="s">
        <v>25</v>
      </c>
      <c r="AN6" s="26" t="s">
        <v>25</v>
      </c>
      <c r="AO6" s="26" t="s">
        <v>25</v>
      </c>
      <c r="AP6" s="26" t="s">
        <v>25</v>
      </c>
      <c r="AQ6" s="26" t="s">
        <v>25</v>
      </c>
      <c r="AR6" s="26" t="s">
        <v>3</v>
      </c>
      <c r="AS6" s="26" t="s">
        <v>25</v>
      </c>
      <c r="AT6" s="26" t="s">
        <v>25</v>
      </c>
      <c r="AU6" s="26" t="s">
        <v>25</v>
      </c>
      <c r="AV6" s="26" t="s">
        <v>25</v>
      </c>
      <c r="AW6" s="31" t="s">
        <v>25</v>
      </c>
    </row>
    <row r="7" spans="1:49" x14ac:dyDescent="0.25">
      <c r="A7" s="8" t="s">
        <v>26</v>
      </c>
      <c r="B7" s="30" t="s">
        <v>26</v>
      </c>
      <c r="C7" s="26" t="s">
        <v>26</v>
      </c>
      <c r="D7" s="26" t="s">
        <v>26</v>
      </c>
      <c r="E7" s="26" t="s">
        <v>26</v>
      </c>
      <c r="F7" s="26" t="s">
        <v>26</v>
      </c>
      <c r="G7" s="26" t="s">
        <v>26</v>
      </c>
      <c r="H7" s="26" t="s">
        <v>26</v>
      </c>
      <c r="I7" s="26" t="s">
        <v>26</v>
      </c>
      <c r="J7" s="26" t="s">
        <v>26</v>
      </c>
      <c r="K7" s="26" t="s">
        <v>26</v>
      </c>
      <c r="L7" s="26" t="s">
        <v>3</v>
      </c>
      <c r="M7" s="26" t="s">
        <v>3</v>
      </c>
      <c r="N7" s="26" t="s">
        <v>26</v>
      </c>
      <c r="O7" s="26" t="s">
        <v>26</v>
      </c>
      <c r="P7" s="26" t="s">
        <v>26</v>
      </c>
      <c r="Q7" s="26" t="s">
        <v>26</v>
      </c>
      <c r="R7" s="26" t="s">
        <v>26</v>
      </c>
      <c r="S7" s="26" t="s">
        <v>26</v>
      </c>
      <c r="T7" s="26" t="s">
        <v>26</v>
      </c>
      <c r="U7" s="26" t="s">
        <v>26</v>
      </c>
      <c r="V7" s="26" t="s">
        <v>26</v>
      </c>
      <c r="W7" s="26" t="s">
        <v>26</v>
      </c>
      <c r="X7" s="26" t="s">
        <v>3</v>
      </c>
      <c r="Y7" s="26" t="s">
        <v>3</v>
      </c>
      <c r="Z7" s="26" t="s">
        <v>3</v>
      </c>
      <c r="AA7" s="26" t="s">
        <v>26</v>
      </c>
      <c r="AB7" s="26" t="s">
        <v>26</v>
      </c>
      <c r="AC7" s="26" t="s">
        <v>26</v>
      </c>
      <c r="AD7" s="26" t="s">
        <v>26</v>
      </c>
      <c r="AE7" s="26" t="s">
        <v>26</v>
      </c>
      <c r="AF7" s="26" t="s">
        <v>26</v>
      </c>
      <c r="AG7" s="26" t="s">
        <v>26</v>
      </c>
      <c r="AH7" s="26" t="s">
        <v>26</v>
      </c>
      <c r="AI7" s="26" t="s">
        <v>26</v>
      </c>
      <c r="AJ7" s="26" t="s">
        <v>3</v>
      </c>
      <c r="AK7" s="26" t="s">
        <v>3</v>
      </c>
      <c r="AL7" s="26" t="s">
        <v>3</v>
      </c>
      <c r="AM7" s="26" t="s">
        <v>26</v>
      </c>
      <c r="AN7" s="26" t="s">
        <v>26</v>
      </c>
      <c r="AO7" s="26" t="s">
        <v>26</v>
      </c>
      <c r="AP7" s="26" t="s">
        <v>26</v>
      </c>
      <c r="AQ7" s="26" t="s">
        <v>26</v>
      </c>
      <c r="AR7" s="26" t="s">
        <v>26</v>
      </c>
      <c r="AS7" s="26" t="s">
        <v>3</v>
      </c>
      <c r="AT7" s="26" t="s">
        <v>26</v>
      </c>
      <c r="AU7" s="26" t="s">
        <v>26</v>
      </c>
      <c r="AV7" s="26" t="s">
        <v>26</v>
      </c>
      <c r="AW7" s="31" t="s">
        <v>26</v>
      </c>
    </row>
    <row r="8" spans="1:49" ht="15.75" thickBot="1" x14ac:dyDescent="0.3">
      <c r="A8" s="8" t="s">
        <v>27</v>
      </c>
      <c r="B8" s="32" t="s">
        <v>27</v>
      </c>
      <c r="C8" s="33" t="s">
        <v>27</v>
      </c>
      <c r="D8" s="33" t="s">
        <v>27</v>
      </c>
      <c r="E8" s="33" t="s">
        <v>27</v>
      </c>
      <c r="F8" s="33" t="s">
        <v>27</v>
      </c>
      <c r="G8" s="33" t="s">
        <v>27</v>
      </c>
      <c r="H8" s="33" t="s">
        <v>27</v>
      </c>
      <c r="I8" s="33" t="s">
        <v>27</v>
      </c>
      <c r="J8" s="33" t="s">
        <v>27</v>
      </c>
      <c r="K8" s="33" t="s">
        <v>27</v>
      </c>
      <c r="L8" s="33" t="s">
        <v>3</v>
      </c>
      <c r="M8" s="33" t="s">
        <v>3</v>
      </c>
      <c r="N8" s="33" t="s">
        <v>27</v>
      </c>
      <c r="O8" s="33" t="s">
        <v>27</v>
      </c>
      <c r="P8" s="33" t="s">
        <v>27</v>
      </c>
      <c r="Q8" s="33" t="s">
        <v>27</v>
      </c>
      <c r="R8" s="33" t="s">
        <v>23</v>
      </c>
      <c r="S8" s="33" t="s">
        <v>23</v>
      </c>
      <c r="T8" s="33" t="s">
        <v>23</v>
      </c>
      <c r="U8" s="33" t="s">
        <v>27</v>
      </c>
      <c r="V8" s="33" t="s">
        <v>27</v>
      </c>
      <c r="W8" s="33" t="s">
        <v>27</v>
      </c>
      <c r="X8" s="33" t="s">
        <v>3</v>
      </c>
      <c r="Y8" s="33" t="s">
        <v>3</v>
      </c>
      <c r="Z8" s="33" t="s">
        <v>3</v>
      </c>
      <c r="AA8" s="33" t="s">
        <v>27</v>
      </c>
      <c r="AB8" s="33" t="s">
        <v>27</v>
      </c>
      <c r="AC8" s="33" t="s">
        <v>27</v>
      </c>
      <c r="AD8" s="33" t="s">
        <v>23</v>
      </c>
      <c r="AE8" s="33" t="s">
        <v>23</v>
      </c>
      <c r="AF8" s="33" t="s">
        <v>23</v>
      </c>
      <c r="AG8" s="33" t="s">
        <v>27</v>
      </c>
      <c r="AH8" s="33" t="s">
        <v>27</v>
      </c>
      <c r="AI8" s="33" t="s">
        <v>27</v>
      </c>
      <c r="AJ8" s="33" t="s">
        <v>3</v>
      </c>
      <c r="AK8" s="33" t="s">
        <v>3</v>
      </c>
      <c r="AL8" s="33" t="s">
        <v>3</v>
      </c>
      <c r="AM8" s="33" t="s">
        <v>27</v>
      </c>
      <c r="AN8" s="33" t="s">
        <v>27</v>
      </c>
      <c r="AO8" s="33" t="s">
        <v>27</v>
      </c>
      <c r="AP8" s="33" t="s">
        <v>27</v>
      </c>
      <c r="AQ8" s="33" t="s">
        <v>27</v>
      </c>
      <c r="AR8" s="33" t="s">
        <v>27</v>
      </c>
      <c r="AS8" s="33" t="s">
        <v>3</v>
      </c>
      <c r="AT8" s="33" t="s">
        <v>27</v>
      </c>
      <c r="AU8" s="33" t="s">
        <v>27</v>
      </c>
      <c r="AV8" s="33" t="s">
        <v>27</v>
      </c>
      <c r="AW8" s="34" t="s">
        <v>27</v>
      </c>
    </row>
    <row r="9" spans="1:49" ht="15.75" thickBot="1" x14ac:dyDescent="0.3">
      <c r="A9" s="35" t="s">
        <v>17</v>
      </c>
      <c r="B9" s="24">
        <f>SUM(COUNTIF(B3:B8,"=AL*"))</f>
        <v>6</v>
      </c>
      <c r="C9" s="24">
        <f t="shared" ref="C9:AW9" si="0">SUM(COUNTIF(C3:C8,"=AL*"))</f>
        <v>6</v>
      </c>
      <c r="D9" s="24">
        <f t="shared" si="0"/>
        <v>6</v>
      </c>
      <c r="E9" s="24">
        <f t="shared" si="0"/>
        <v>6</v>
      </c>
      <c r="F9" s="24">
        <f t="shared" si="0"/>
        <v>6</v>
      </c>
      <c r="G9" s="24">
        <f t="shared" si="0"/>
        <v>6</v>
      </c>
      <c r="H9" s="24">
        <f t="shared" si="0"/>
        <v>4</v>
      </c>
      <c r="I9" s="24">
        <f t="shared" si="0"/>
        <v>4</v>
      </c>
      <c r="J9" s="24">
        <f t="shared" si="0"/>
        <v>4</v>
      </c>
      <c r="K9" s="24">
        <f t="shared" si="0"/>
        <v>4</v>
      </c>
      <c r="L9" s="24">
        <f t="shared" si="0"/>
        <v>4</v>
      </c>
      <c r="M9" s="24">
        <f t="shared" si="0"/>
        <v>4</v>
      </c>
      <c r="N9" s="24">
        <f t="shared" si="0"/>
        <v>6</v>
      </c>
      <c r="O9" s="24">
        <f t="shared" si="0"/>
        <v>6</v>
      </c>
      <c r="P9" s="24">
        <f t="shared" si="0"/>
        <v>6</v>
      </c>
      <c r="Q9" s="24">
        <f t="shared" si="0"/>
        <v>6</v>
      </c>
      <c r="R9" s="24">
        <f t="shared" si="0"/>
        <v>4</v>
      </c>
      <c r="S9" s="24">
        <f t="shared" si="0"/>
        <v>4</v>
      </c>
      <c r="T9" s="24">
        <f t="shared" si="0"/>
        <v>4</v>
      </c>
      <c r="U9" s="24">
        <f t="shared" si="0"/>
        <v>4</v>
      </c>
      <c r="V9" s="24">
        <f t="shared" si="0"/>
        <v>4</v>
      </c>
      <c r="W9" s="24">
        <f t="shared" si="0"/>
        <v>4</v>
      </c>
      <c r="X9" s="24">
        <f t="shared" si="0"/>
        <v>4</v>
      </c>
      <c r="Y9" s="24">
        <f t="shared" si="0"/>
        <v>4</v>
      </c>
      <c r="Z9" s="24">
        <f t="shared" si="0"/>
        <v>4</v>
      </c>
      <c r="AA9" s="24">
        <f t="shared" si="0"/>
        <v>6</v>
      </c>
      <c r="AB9" s="24">
        <f t="shared" si="0"/>
        <v>6</v>
      </c>
      <c r="AC9" s="24">
        <f t="shared" si="0"/>
        <v>6</v>
      </c>
      <c r="AD9" s="24">
        <f t="shared" si="0"/>
        <v>4</v>
      </c>
      <c r="AE9" s="24">
        <f t="shared" si="0"/>
        <v>4</v>
      </c>
      <c r="AF9" s="24">
        <f t="shared" si="0"/>
        <v>4</v>
      </c>
      <c r="AG9" s="24">
        <f t="shared" si="0"/>
        <v>4</v>
      </c>
      <c r="AH9" s="24">
        <f t="shared" si="0"/>
        <v>4</v>
      </c>
      <c r="AI9" s="24">
        <f t="shared" si="0"/>
        <v>4</v>
      </c>
      <c r="AJ9" s="24">
        <f t="shared" si="0"/>
        <v>4</v>
      </c>
      <c r="AK9" s="24">
        <f t="shared" si="0"/>
        <v>4</v>
      </c>
      <c r="AL9" s="24">
        <f t="shared" si="0"/>
        <v>4</v>
      </c>
      <c r="AM9" s="24">
        <f t="shared" si="0"/>
        <v>6</v>
      </c>
      <c r="AN9" s="24">
        <f t="shared" si="0"/>
        <v>6</v>
      </c>
      <c r="AO9" s="24">
        <f t="shared" si="0"/>
        <v>6</v>
      </c>
      <c r="AP9" s="24">
        <f t="shared" si="0"/>
        <v>6</v>
      </c>
      <c r="AQ9" s="24">
        <f t="shared" si="0"/>
        <v>4</v>
      </c>
      <c r="AR9" s="24">
        <f t="shared" si="0"/>
        <v>4</v>
      </c>
      <c r="AS9" s="24">
        <f t="shared" si="0"/>
        <v>4</v>
      </c>
      <c r="AT9" s="24">
        <f t="shared" si="0"/>
        <v>6</v>
      </c>
      <c r="AU9" s="24">
        <f t="shared" si="0"/>
        <v>6</v>
      </c>
      <c r="AV9" s="24">
        <f t="shared" si="0"/>
        <v>6</v>
      </c>
      <c r="AW9" s="25">
        <f t="shared" si="0"/>
        <v>6</v>
      </c>
    </row>
    <row r="10" spans="1:49" ht="15.75" thickBot="1" x14ac:dyDescent="0.3">
      <c r="A10" s="35" t="s">
        <v>18</v>
      </c>
      <c r="B10" s="24">
        <f>SUM(COUNTIF(B3:B8,"=Acar*"))</f>
        <v>0</v>
      </c>
      <c r="C10" s="24">
        <f t="shared" ref="C10:AW10" si="1">SUM(COUNTIF(C3:C8,"=Acar*"))</f>
        <v>0</v>
      </c>
      <c r="D10" s="24">
        <f t="shared" si="1"/>
        <v>0</v>
      </c>
      <c r="E10" s="24">
        <f t="shared" si="1"/>
        <v>0</v>
      </c>
      <c r="F10" s="24">
        <f t="shared" si="1"/>
        <v>0</v>
      </c>
      <c r="G10" s="24">
        <f t="shared" si="1"/>
        <v>0</v>
      </c>
      <c r="H10" s="24">
        <f t="shared" si="1"/>
        <v>0</v>
      </c>
      <c r="I10" s="24">
        <f t="shared" si="1"/>
        <v>0</v>
      </c>
      <c r="J10" s="24">
        <f t="shared" si="1"/>
        <v>0</v>
      </c>
      <c r="K10" s="24">
        <f t="shared" si="1"/>
        <v>0</v>
      </c>
      <c r="L10" s="24">
        <f t="shared" si="1"/>
        <v>0</v>
      </c>
      <c r="M10" s="24">
        <f t="shared" si="1"/>
        <v>0</v>
      </c>
      <c r="N10" s="24">
        <f t="shared" si="1"/>
        <v>0</v>
      </c>
      <c r="O10" s="24">
        <f t="shared" si="1"/>
        <v>0</v>
      </c>
      <c r="P10" s="24">
        <f t="shared" si="1"/>
        <v>0</v>
      </c>
      <c r="Q10" s="24">
        <f t="shared" si="1"/>
        <v>0</v>
      </c>
      <c r="R10" s="24">
        <f t="shared" si="1"/>
        <v>0</v>
      </c>
      <c r="S10" s="24">
        <f t="shared" si="1"/>
        <v>0</v>
      </c>
      <c r="T10" s="24">
        <f t="shared" si="1"/>
        <v>0</v>
      </c>
      <c r="U10" s="24">
        <f t="shared" si="1"/>
        <v>0</v>
      </c>
      <c r="V10" s="24">
        <f t="shared" si="1"/>
        <v>0</v>
      </c>
      <c r="W10" s="24">
        <f t="shared" si="1"/>
        <v>0</v>
      </c>
      <c r="X10" s="24">
        <f t="shared" si="1"/>
        <v>0</v>
      </c>
      <c r="Y10" s="24">
        <f t="shared" si="1"/>
        <v>0</v>
      </c>
      <c r="Z10" s="24">
        <f t="shared" si="1"/>
        <v>0</v>
      </c>
      <c r="AA10" s="24">
        <f t="shared" si="1"/>
        <v>0</v>
      </c>
      <c r="AB10" s="24">
        <f t="shared" si="1"/>
        <v>0</v>
      </c>
      <c r="AC10" s="24">
        <f t="shared" si="1"/>
        <v>0</v>
      </c>
      <c r="AD10" s="24">
        <f t="shared" si="1"/>
        <v>0</v>
      </c>
      <c r="AE10" s="24">
        <f t="shared" si="1"/>
        <v>0</v>
      </c>
      <c r="AF10" s="24">
        <f t="shared" si="1"/>
        <v>0</v>
      </c>
      <c r="AG10" s="24">
        <f t="shared" si="1"/>
        <v>0</v>
      </c>
      <c r="AH10" s="24">
        <f t="shared" si="1"/>
        <v>0</v>
      </c>
      <c r="AI10" s="24">
        <f t="shared" si="1"/>
        <v>0</v>
      </c>
      <c r="AJ10" s="24">
        <f t="shared" si="1"/>
        <v>0</v>
      </c>
      <c r="AK10" s="24">
        <f t="shared" si="1"/>
        <v>0</v>
      </c>
      <c r="AL10" s="24">
        <f t="shared" si="1"/>
        <v>0</v>
      </c>
      <c r="AM10" s="24">
        <f t="shared" si="1"/>
        <v>0</v>
      </c>
      <c r="AN10" s="24">
        <f t="shared" si="1"/>
        <v>0</v>
      </c>
      <c r="AO10" s="24">
        <f t="shared" si="1"/>
        <v>0</v>
      </c>
      <c r="AP10" s="24">
        <f t="shared" si="1"/>
        <v>0</v>
      </c>
      <c r="AQ10" s="24">
        <f t="shared" si="1"/>
        <v>0</v>
      </c>
      <c r="AR10" s="24">
        <f t="shared" si="1"/>
        <v>0</v>
      </c>
      <c r="AS10" s="24">
        <f t="shared" si="1"/>
        <v>0</v>
      </c>
      <c r="AT10" s="24">
        <f t="shared" si="1"/>
        <v>0</v>
      </c>
      <c r="AU10" s="24">
        <f t="shared" si="1"/>
        <v>0</v>
      </c>
      <c r="AV10" s="24">
        <f t="shared" si="1"/>
        <v>0</v>
      </c>
      <c r="AW10" s="25">
        <f t="shared" si="1"/>
        <v>0</v>
      </c>
    </row>
    <row r="11" spans="1:49" ht="15.75" thickBot="1" x14ac:dyDescent="0.3">
      <c r="A11" s="35" t="s">
        <v>2</v>
      </c>
      <c r="B11" s="22" t="str">
        <f>IF(B10=0, CONCATENATE(B9), CONCATENATE(B9, ",",B10))</f>
        <v>6</v>
      </c>
      <c r="C11" s="22" t="str">
        <f t="shared" ref="C11:AW11" si="2">IF(C10=0, CONCATENATE(C9), CONCATENATE(C9, ",",C10))</f>
        <v>6</v>
      </c>
      <c r="D11" s="22" t="str">
        <f t="shared" si="2"/>
        <v>6</v>
      </c>
      <c r="E11" s="22" t="str">
        <f t="shared" si="2"/>
        <v>6</v>
      </c>
      <c r="F11" s="22" t="str">
        <f t="shared" si="2"/>
        <v>6</v>
      </c>
      <c r="G11" s="22" t="str">
        <f t="shared" si="2"/>
        <v>6</v>
      </c>
      <c r="H11" s="22" t="str">
        <f t="shared" si="2"/>
        <v>4</v>
      </c>
      <c r="I11" s="22" t="str">
        <f t="shared" si="2"/>
        <v>4</v>
      </c>
      <c r="J11" s="22" t="str">
        <f t="shared" si="2"/>
        <v>4</v>
      </c>
      <c r="K11" s="22" t="str">
        <f t="shared" si="2"/>
        <v>4</v>
      </c>
      <c r="L11" s="22" t="str">
        <f t="shared" si="2"/>
        <v>4</v>
      </c>
      <c r="M11" s="22" t="str">
        <f t="shared" si="2"/>
        <v>4</v>
      </c>
      <c r="N11" s="22" t="str">
        <f t="shared" si="2"/>
        <v>6</v>
      </c>
      <c r="O11" s="22" t="str">
        <f t="shared" si="2"/>
        <v>6</v>
      </c>
      <c r="P11" s="22" t="str">
        <f t="shared" si="2"/>
        <v>6</v>
      </c>
      <c r="Q11" s="22" t="str">
        <f t="shared" si="2"/>
        <v>6</v>
      </c>
      <c r="R11" s="22" t="str">
        <f t="shared" si="2"/>
        <v>4</v>
      </c>
      <c r="S11" s="22" t="str">
        <f t="shared" si="2"/>
        <v>4</v>
      </c>
      <c r="T11" s="22" t="str">
        <f t="shared" si="2"/>
        <v>4</v>
      </c>
      <c r="U11" s="22" t="str">
        <f t="shared" si="2"/>
        <v>4</v>
      </c>
      <c r="V11" s="22" t="str">
        <f t="shared" si="2"/>
        <v>4</v>
      </c>
      <c r="W11" s="22" t="str">
        <f t="shared" si="2"/>
        <v>4</v>
      </c>
      <c r="X11" s="22" t="str">
        <f t="shared" si="2"/>
        <v>4</v>
      </c>
      <c r="Y11" s="22" t="str">
        <f t="shared" si="2"/>
        <v>4</v>
      </c>
      <c r="Z11" s="22" t="str">
        <f t="shared" si="2"/>
        <v>4</v>
      </c>
      <c r="AA11" s="22" t="str">
        <f t="shared" si="2"/>
        <v>6</v>
      </c>
      <c r="AB11" s="22" t="str">
        <f t="shared" si="2"/>
        <v>6</v>
      </c>
      <c r="AC11" s="22" t="str">
        <f t="shared" si="2"/>
        <v>6</v>
      </c>
      <c r="AD11" s="22" t="str">
        <f t="shared" si="2"/>
        <v>4</v>
      </c>
      <c r="AE11" s="22" t="str">
        <f t="shared" si="2"/>
        <v>4</v>
      </c>
      <c r="AF11" s="22" t="str">
        <f t="shared" si="2"/>
        <v>4</v>
      </c>
      <c r="AG11" s="22" t="str">
        <f t="shared" si="2"/>
        <v>4</v>
      </c>
      <c r="AH11" s="22" t="str">
        <f t="shared" si="2"/>
        <v>4</v>
      </c>
      <c r="AI11" s="22" t="str">
        <f t="shared" si="2"/>
        <v>4</v>
      </c>
      <c r="AJ11" s="22" t="str">
        <f t="shared" si="2"/>
        <v>4</v>
      </c>
      <c r="AK11" s="22" t="str">
        <f t="shared" si="2"/>
        <v>4</v>
      </c>
      <c r="AL11" s="22" t="str">
        <f t="shared" si="2"/>
        <v>4</v>
      </c>
      <c r="AM11" s="22" t="str">
        <f t="shared" si="2"/>
        <v>6</v>
      </c>
      <c r="AN11" s="22" t="str">
        <f t="shared" si="2"/>
        <v>6</v>
      </c>
      <c r="AO11" s="22" t="str">
        <f t="shared" si="2"/>
        <v>6</v>
      </c>
      <c r="AP11" s="22" t="str">
        <f t="shared" si="2"/>
        <v>6</v>
      </c>
      <c r="AQ11" s="22" t="str">
        <f t="shared" si="2"/>
        <v>4</v>
      </c>
      <c r="AR11" s="22" t="str">
        <f t="shared" si="2"/>
        <v>4</v>
      </c>
      <c r="AS11" s="22" t="str">
        <f t="shared" si="2"/>
        <v>4</v>
      </c>
      <c r="AT11" s="22" t="str">
        <f t="shared" si="2"/>
        <v>6</v>
      </c>
      <c r="AU11" s="22" t="str">
        <f t="shared" si="2"/>
        <v>6</v>
      </c>
      <c r="AV11" s="22" t="str">
        <f t="shared" si="2"/>
        <v>6</v>
      </c>
      <c r="AW11" s="23" t="str">
        <f t="shared" si="2"/>
        <v>6</v>
      </c>
    </row>
    <row r="12" spans="1:49" ht="15.75" thickBot="1" x14ac:dyDescent="0.3">
      <c r="A12" s="44" t="s">
        <v>4</v>
      </c>
      <c r="B12" s="45"/>
      <c r="C12" s="45"/>
      <c r="D12" s="45"/>
      <c r="E12" s="45"/>
      <c r="F12" s="45"/>
      <c r="G12" s="45"/>
      <c r="H12" s="45"/>
      <c r="I12" s="45"/>
      <c r="J12" s="45"/>
      <c r="K12" s="45"/>
      <c r="L12" s="45"/>
      <c r="M12" s="45"/>
      <c r="N12" s="45"/>
      <c r="O12" s="45"/>
      <c r="P12" s="45"/>
      <c r="Q12" s="45"/>
      <c r="R12" s="45"/>
      <c r="S12" s="45"/>
      <c r="T12" s="45"/>
      <c r="U12" s="45"/>
      <c r="V12" s="45"/>
      <c r="W12" s="45"/>
      <c r="X12" s="45"/>
      <c r="Y12" s="45"/>
      <c r="Z12" s="45"/>
      <c r="AA12" s="45"/>
      <c r="AB12" s="45"/>
      <c r="AC12" s="45"/>
      <c r="AD12" s="45"/>
      <c r="AE12" s="45"/>
      <c r="AF12" s="45"/>
      <c r="AG12" s="45"/>
      <c r="AH12" s="45"/>
      <c r="AI12" s="45"/>
      <c r="AJ12" s="45"/>
      <c r="AK12" s="45"/>
      <c r="AL12" s="45"/>
      <c r="AM12" s="45"/>
      <c r="AN12" s="45"/>
      <c r="AO12" s="45"/>
      <c r="AP12" s="45"/>
      <c r="AQ12" s="45"/>
      <c r="AR12" s="45"/>
      <c r="AS12" s="45"/>
      <c r="AT12" s="45"/>
      <c r="AU12" s="45"/>
      <c r="AV12" s="45"/>
      <c r="AW12" s="46"/>
    </row>
    <row r="13" spans="1:49" x14ac:dyDescent="0.25">
      <c r="A13" s="7" t="s">
        <v>6</v>
      </c>
      <c r="B13" s="27"/>
      <c r="C13" s="28"/>
      <c r="D13" s="28"/>
      <c r="E13" s="28"/>
      <c r="F13" s="28"/>
      <c r="G13" s="28"/>
      <c r="H13" s="28" t="s">
        <v>22</v>
      </c>
      <c r="I13" s="28" t="s">
        <v>22</v>
      </c>
      <c r="J13" s="28" t="s">
        <v>24</v>
      </c>
      <c r="K13" s="28" t="s">
        <v>24</v>
      </c>
      <c r="L13" s="28" t="s">
        <v>26</v>
      </c>
      <c r="M13" s="28" t="s">
        <v>26</v>
      </c>
      <c r="N13" s="28"/>
      <c r="O13" s="28"/>
      <c r="P13" s="28"/>
      <c r="Q13" s="28"/>
      <c r="R13" s="28" t="s">
        <v>22</v>
      </c>
      <c r="S13" s="28" t="s">
        <v>22</v>
      </c>
      <c r="T13" s="28" t="s">
        <v>22</v>
      </c>
      <c r="U13" s="28" t="s">
        <v>24</v>
      </c>
      <c r="V13" s="28" t="s">
        <v>24</v>
      </c>
      <c r="W13" s="28" t="s">
        <v>24</v>
      </c>
      <c r="X13" s="28" t="s">
        <v>26</v>
      </c>
      <c r="Y13" s="28" t="s">
        <v>26</v>
      </c>
      <c r="Z13" s="28" t="s">
        <v>26</v>
      </c>
      <c r="AA13" s="28"/>
      <c r="AB13" s="28"/>
      <c r="AC13" s="28"/>
      <c r="AD13" s="28" t="s">
        <v>22</v>
      </c>
      <c r="AE13" s="28" t="s">
        <v>22</v>
      </c>
      <c r="AF13" s="28" t="s">
        <v>22</v>
      </c>
      <c r="AG13" s="28" t="s">
        <v>24</v>
      </c>
      <c r="AH13" s="28" t="s">
        <v>24</v>
      </c>
      <c r="AI13" s="28" t="s">
        <v>24</v>
      </c>
      <c r="AJ13" s="28" t="s">
        <v>26</v>
      </c>
      <c r="AK13" s="28" t="s">
        <v>26</v>
      </c>
      <c r="AL13" s="28" t="s">
        <v>26</v>
      </c>
      <c r="AM13" s="28"/>
      <c r="AN13" s="28"/>
      <c r="AO13" s="28"/>
      <c r="AP13" s="28"/>
      <c r="AQ13" s="28" t="s">
        <v>22</v>
      </c>
      <c r="AR13" s="28" t="s">
        <v>24</v>
      </c>
      <c r="AS13" s="28" t="s">
        <v>26</v>
      </c>
      <c r="AT13" s="28"/>
      <c r="AU13" s="28"/>
      <c r="AV13" s="28"/>
      <c r="AW13" s="29"/>
    </row>
    <row r="14" spans="1:49" x14ac:dyDescent="0.25">
      <c r="A14" s="8" t="s">
        <v>6</v>
      </c>
      <c r="B14" s="30"/>
      <c r="C14" s="26"/>
      <c r="D14" s="26"/>
      <c r="E14" s="26"/>
      <c r="F14" s="26"/>
      <c r="G14" s="26"/>
      <c r="H14" s="26" t="s">
        <v>23</v>
      </c>
      <c r="I14" s="26" t="s">
        <v>23</v>
      </c>
      <c r="J14" s="26" t="s">
        <v>25</v>
      </c>
      <c r="K14" s="26" t="s">
        <v>25</v>
      </c>
      <c r="L14" s="26" t="s">
        <v>27</v>
      </c>
      <c r="M14" s="26" t="s">
        <v>27</v>
      </c>
      <c r="N14" s="26"/>
      <c r="O14" s="26"/>
      <c r="P14" s="26"/>
      <c r="Q14" s="26"/>
      <c r="R14" s="26"/>
      <c r="S14" s="26"/>
      <c r="T14" s="26"/>
      <c r="U14" s="26" t="s">
        <v>25</v>
      </c>
      <c r="V14" s="26" t="s">
        <v>25</v>
      </c>
      <c r="W14" s="26" t="s">
        <v>25</v>
      </c>
      <c r="X14" s="26" t="s">
        <v>27</v>
      </c>
      <c r="Y14" s="26" t="s">
        <v>27</v>
      </c>
      <c r="Z14" s="26" t="s">
        <v>27</v>
      </c>
      <c r="AA14" s="26"/>
      <c r="AB14" s="26"/>
      <c r="AC14" s="26"/>
      <c r="AD14" s="26"/>
      <c r="AE14" s="26"/>
      <c r="AF14" s="26"/>
      <c r="AG14" s="26" t="s">
        <v>25</v>
      </c>
      <c r="AH14" s="26" t="s">
        <v>25</v>
      </c>
      <c r="AI14" s="26" t="s">
        <v>25</v>
      </c>
      <c r="AJ14" s="26" t="s">
        <v>27</v>
      </c>
      <c r="AK14" s="26" t="s">
        <v>27</v>
      </c>
      <c r="AL14" s="26" t="s">
        <v>27</v>
      </c>
      <c r="AM14" s="26"/>
      <c r="AN14" s="26"/>
      <c r="AO14" s="26"/>
      <c r="AP14" s="26"/>
      <c r="AQ14" s="26" t="s">
        <v>23</v>
      </c>
      <c r="AR14" s="26" t="s">
        <v>25</v>
      </c>
      <c r="AS14" s="26" t="s">
        <v>27</v>
      </c>
      <c r="AT14" s="26"/>
      <c r="AU14" s="26"/>
      <c r="AV14" s="26"/>
      <c r="AW14" s="31"/>
    </row>
    <row r="15" spans="1:49" x14ac:dyDescent="0.25">
      <c r="A15" s="8"/>
      <c r="B15" s="30"/>
      <c r="C15" s="26"/>
      <c r="D15" s="26"/>
      <c r="E15" s="26"/>
      <c r="F15" s="26"/>
      <c r="G15" s="26"/>
      <c r="H15" s="26"/>
      <c r="I15" s="26"/>
      <c r="J15" s="26"/>
      <c r="K15" s="26"/>
      <c r="L15" s="26"/>
      <c r="M15" s="26"/>
      <c r="N15" s="26"/>
      <c r="O15" s="26"/>
      <c r="P15" s="26"/>
      <c r="Q15" s="26"/>
      <c r="R15" s="26"/>
      <c r="S15" s="26"/>
      <c r="T15" s="26"/>
      <c r="U15" s="26"/>
      <c r="V15" s="26"/>
      <c r="W15" s="26"/>
      <c r="X15" s="26"/>
      <c r="Y15" s="26"/>
      <c r="Z15" s="26"/>
      <c r="AA15" s="26"/>
      <c r="AB15" s="26"/>
      <c r="AC15" s="26"/>
      <c r="AD15" s="26"/>
      <c r="AE15" s="26"/>
      <c r="AF15" s="26"/>
      <c r="AG15" s="26"/>
      <c r="AH15" s="26"/>
      <c r="AI15" s="26"/>
      <c r="AJ15" s="26"/>
      <c r="AK15" s="26"/>
      <c r="AL15" s="26"/>
      <c r="AM15" s="26"/>
      <c r="AN15" s="26"/>
      <c r="AO15" s="26"/>
      <c r="AP15" s="26"/>
      <c r="AQ15" s="26"/>
      <c r="AR15" s="26"/>
      <c r="AS15" s="26"/>
      <c r="AT15" s="26"/>
      <c r="AU15" s="26"/>
      <c r="AV15" s="26"/>
      <c r="AW15" s="31"/>
    </row>
    <row r="16" spans="1:49" x14ac:dyDescent="0.25">
      <c r="A16" s="8"/>
      <c r="B16" s="30"/>
      <c r="C16" s="26"/>
      <c r="D16" s="26"/>
      <c r="E16" s="26"/>
      <c r="F16" s="26"/>
      <c r="G16" s="26"/>
      <c r="H16" s="26"/>
      <c r="I16" s="26"/>
      <c r="J16" s="26"/>
      <c r="K16" s="26"/>
      <c r="L16" s="26"/>
      <c r="M16" s="26"/>
      <c r="N16" s="26"/>
      <c r="O16" s="26"/>
      <c r="P16" s="26"/>
      <c r="Q16" s="26"/>
      <c r="R16" s="26"/>
      <c r="S16" s="26"/>
      <c r="T16" s="26"/>
      <c r="U16" s="26"/>
      <c r="V16" s="26"/>
      <c r="W16" s="26"/>
      <c r="X16" s="26"/>
      <c r="Y16" s="26"/>
      <c r="Z16" s="26"/>
      <c r="AA16" s="26"/>
      <c r="AB16" s="26"/>
      <c r="AC16" s="26"/>
      <c r="AD16" s="26"/>
      <c r="AE16" s="26"/>
      <c r="AF16" s="26"/>
      <c r="AG16" s="26"/>
      <c r="AH16" s="26"/>
      <c r="AI16" s="26"/>
      <c r="AJ16" s="26"/>
      <c r="AK16" s="26"/>
      <c r="AL16" s="26"/>
      <c r="AM16" s="26"/>
      <c r="AN16" s="26"/>
      <c r="AO16" s="26"/>
      <c r="AP16" s="26"/>
      <c r="AQ16" s="26"/>
      <c r="AR16" s="26"/>
      <c r="AS16" s="26"/>
      <c r="AT16" s="26"/>
      <c r="AU16" s="26"/>
      <c r="AV16" s="26"/>
      <c r="AW16" s="31"/>
    </row>
    <row r="17" spans="1:49" x14ac:dyDescent="0.25">
      <c r="A17" s="8"/>
      <c r="B17" s="30"/>
      <c r="C17" s="26"/>
      <c r="D17" s="26"/>
      <c r="E17" s="26"/>
      <c r="F17" s="26"/>
      <c r="G17" s="26"/>
      <c r="H17" s="26"/>
      <c r="I17" s="26"/>
      <c r="J17" s="26"/>
      <c r="K17" s="26"/>
      <c r="L17" s="26"/>
      <c r="M17" s="26"/>
      <c r="N17" s="26"/>
      <c r="O17" s="26"/>
      <c r="P17" s="26"/>
      <c r="Q17" s="26"/>
      <c r="R17" s="26"/>
      <c r="S17" s="26"/>
      <c r="T17" s="26"/>
      <c r="U17" s="26"/>
      <c r="V17" s="26"/>
      <c r="W17" s="26"/>
      <c r="X17" s="26"/>
      <c r="Y17" s="26"/>
      <c r="Z17" s="26"/>
      <c r="AA17" s="26"/>
      <c r="AB17" s="26"/>
      <c r="AC17" s="26"/>
      <c r="AD17" s="26"/>
      <c r="AE17" s="26"/>
      <c r="AF17" s="26"/>
      <c r="AG17" s="26"/>
      <c r="AH17" s="26"/>
      <c r="AI17" s="26"/>
      <c r="AJ17" s="26"/>
      <c r="AK17" s="26"/>
      <c r="AL17" s="26"/>
      <c r="AM17" s="26"/>
      <c r="AN17" s="26"/>
      <c r="AO17" s="26"/>
      <c r="AP17" s="26"/>
      <c r="AQ17" s="26"/>
      <c r="AR17" s="26"/>
      <c r="AS17" s="26"/>
      <c r="AT17" s="26"/>
      <c r="AU17" s="26"/>
      <c r="AV17" s="26"/>
      <c r="AW17" s="31"/>
    </row>
    <row r="18" spans="1:49" ht="15.75" thickBot="1" x14ac:dyDescent="0.3">
      <c r="A18" s="9"/>
      <c r="B18" s="32"/>
      <c r="C18" s="33"/>
      <c r="D18" s="33"/>
      <c r="E18" s="33"/>
      <c r="F18" s="33"/>
      <c r="G18" s="33"/>
      <c r="H18" s="33"/>
      <c r="I18" s="33"/>
      <c r="J18" s="33"/>
      <c r="K18" s="33"/>
      <c r="L18" s="33"/>
      <c r="M18" s="33"/>
      <c r="N18" s="33"/>
      <c r="O18" s="33"/>
      <c r="P18" s="33"/>
      <c r="Q18" s="33"/>
      <c r="R18" s="33"/>
      <c r="S18" s="33"/>
      <c r="T18" s="33"/>
      <c r="U18" s="33"/>
      <c r="V18" s="33"/>
      <c r="W18" s="33"/>
      <c r="X18" s="33"/>
      <c r="Y18" s="33"/>
      <c r="Z18" s="33"/>
      <c r="AA18" s="33"/>
      <c r="AB18" s="33"/>
      <c r="AC18" s="33"/>
      <c r="AD18" s="33"/>
      <c r="AE18" s="33"/>
      <c r="AF18" s="33"/>
      <c r="AG18" s="33"/>
      <c r="AH18" s="33"/>
      <c r="AI18" s="33"/>
      <c r="AJ18" s="33"/>
      <c r="AK18" s="33"/>
      <c r="AL18" s="33"/>
      <c r="AM18" s="33"/>
      <c r="AN18" s="33"/>
      <c r="AO18" s="33"/>
      <c r="AP18" s="33"/>
      <c r="AQ18" s="33"/>
      <c r="AR18" s="33"/>
      <c r="AS18" s="33"/>
      <c r="AT18" s="33"/>
      <c r="AU18" s="33"/>
      <c r="AV18" s="33"/>
      <c r="AW18" s="34"/>
    </row>
    <row r="19" spans="1:49" ht="15.75" thickBot="1" x14ac:dyDescent="0.3">
      <c r="A19" s="35" t="s">
        <v>17</v>
      </c>
      <c r="B19" s="24">
        <f>SUM(COUNTIF(B13:B18,"=AL*"))</f>
        <v>0</v>
      </c>
      <c r="C19" s="24">
        <f t="shared" ref="C19:AW19" si="3">SUM(COUNTIF(C13:C18,"=AL*"))</f>
        <v>0</v>
      </c>
      <c r="D19" s="24">
        <f t="shared" si="3"/>
        <v>0</v>
      </c>
      <c r="E19" s="24">
        <f t="shared" si="3"/>
        <v>0</v>
      </c>
      <c r="F19" s="24">
        <f t="shared" si="3"/>
        <v>0</v>
      </c>
      <c r="G19" s="24">
        <f t="shared" si="3"/>
        <v>0</v>
      </c>
      <c r="H19" s="24">
        <f t="shared" si="3"/>
        <v>2</v>
      </c>
      <c r="I19" s="24">
        <f t="shared" si="3"/>
        <v>2</v>
      </c>
      <c r="J19" s="24">
        <f t="shared" si="3"/>
        <v>2</v>
      </c>
      <c r="K19" s="24">
        <f t="shared" si="3"/>
        <v>2</v>
      </c>
      <c r="L19" s="24">
        <f t="shared" si="3"/>
        <v>2</v>
      </c>
      <c r="M19" s="24">
        <f t="shared" si="3"/>
        <v>2</v>
      </c>
      <c r="N19" s="24">
        <f t="shared" si="3"/>
        <v>0</v>
      </c>
      <c r="O19" s="24">
        <f t="shared" si="3"/>
        <v>0</v>
      </c>
      <c r="P19" s="24">
        <f t="shared" si="3"/>
        <v>0</v>
      </c>
      <c r="Q19" s="24">
        <f t="shared" si="3"/>
        <v>0</v>
      </c>
      <c r="R19" s="24">
        <f t="shared" si="3"/>
        <v>1</v>
      </c>
      <c r="S19" s="24">
        <f t="shared" si="3"/>
        <v>1</v>
      </c>
      <c r="T19" s="24">
        <f t="shared" si="3"/>
        <v>1</v>
      </c>
      <c r="U19" s="24">
        <f t="shared" si="3"/>
        <v>2</v>
      </c>
      <c r="V19" s="24">
        <f t="shared" si="3"/>
        <v>2</v>
      </c>
      <c r="W19" s="24">
        <f t="shared" si="3"/>
        <v>2</v>
      </c>
      <c r="X19" s="24">
        <f t="shared" si="3"/>
        <v>2</v>
      </c>
      <c r="Y19" s="24">
        <f t="shared" si="3"/>
        <v>2</v>
      </c>
      <c r="Z19" s="24">
        <f t="shared" si="3"/>
        <v>2</v>
      </c>
      <c r="AA19" s="24">
        <f t="shared" si="3"/>
        <v>0</v>
      </c>
      <c r="AB19" s="24">
        <f t="shared" si="3"/>
        <v>0</v>
      </c>
      <c r="AC19" s="24">
        <f t="shared" si="3"/>
        <v>0</v>
      </c>
      <c r="AD19" s="24">
        <f t="shared" si="3"/>
        <v>1</v>
      </c>
      <c r="AE19" s="24">
        <f t="shared" si="3"/>
        <v>1</v>
      </c>
      <c r="AF19" s="24">
        <f t="shared" si="3"/>
        <v>1</v>
      </c>
      <c r="AG19" s="24">
        <f t="shared" si="3"/>
        <v>2</v>
      </c>
      <c r="AH19" s="24">
        <f t="shared" si="3"/>
        <v>2</v>
      </c>
      <c r="AI19" s="24">
        <f t="shared" si="3"/>
        <v>2</v>
      </c>
      <c r="AJ19" s="24">
        <f t="shared" si="3"/>
        <v>2</v>
      </c>
      <c r="AK19" s="24">
        <f t="shared" si="3"/>
        <v>2</v>
      </c>
      <c r="AL19" s="24">
        <f t="shared" si="3"/>
        <v>2</v>
      </c>
      <c r="AM19" s="24">
        <f t="shared" si="3"/>
        <v>0</v>
      </c>
      <c r="AN19" s="24">
        <f t="shared" si="3"/>
        <v>0</v>
      </c>
      <c r="AO19" s="24">
        <f t="shared" si="3"/>
        <v>0</v>
      </c>
      <c r="AP19" s="24">
        <f t="shared" si="3"/>
        <v>0</v>
      </c>
      <c r="AQ19" s="24">
        <f t="shared" si="3"/>
        <v>2</v>
      </c>
      <c r="AR19" s="24">
        <f t="shared" si="3"/>
        <v>2</v>
      </c>
      <c r="AS19" s="24">
        <f t="shared" si="3"/>
        <v>2</v>
      </c>
      <c r="AT19" s="24">
        <f t="shared" si="3"/>
        <v>0</v>
      </c>
      <c r="AU19" s="24">
        <f t="shared" si="3"/>
        <v>0</v>
      </c>
      <c r="AV19" s="24">
        <f t="shared" si="3"/>
        <v>0</v>
      </c>
      <c r="AW19" s="25">
        <f t="shared" si="3"/>
        <v>0</v>
      </c>
    </row>
    <row r="20" spans="1:49" ht="15.75" thickBot="1" x14ac:dyDescent="0.3">
      <c r="A20" s="35" t="s">
        <v>18</v>
      </c>
      <c r="B20" s="24">
        <f>SUM(COUNTIF(B13:B18,"=Acar*"))</f>
        <v>0</v>
      </c>
      <c r="C20" s="24">
        <f t="shared" ref="C20:AW20" si="4">SUM(COUNTIF(C13:C18,"=Acar*"))</f>
        <v>0</v>
      </c>
      <c r="D20" s="24">
        <f t="shared" si="4"/>
        <v>0</v>
      </c>
      <c r="E20" s="24">
        <f t="shared" si="4"/>
        <v>0</v>
      </c>
      <c r="F20" s="24">
        <f t="shared" si="4"/>
        <v>0</v>
      </c>
      <c r="G20" s="24">
        <f t="shared" si="4"/>
        <v>0</v>
      </c>
      <c r="H20" s="24">
        <f t="shared" si="4"/>
        <v>0</v>
      </c>
      <c r="I20" s="24">
        <f t="shared" si="4"/>
        <v>0</v>
      </c>
      <c r="J20" s="24">
        <f t="shared" si="4"/>
        <v>0</v>
      </c>
      <c r="K20" s="24">
        <f t="shared" si="4"/>
        <v>0</v>
      </c>
      <c r="L20" s="24">
        <f t="shared" si="4"/>
        <v>0</v>
      </c>
      <c r="M20" s="24">
        <f t="shared" si="4"/>
        <v>0</v>
      </c>
      <c r="N20" s="24">
        <f t="shared" si="4"/>
        <v>0</v>
      </c>
      <c r="O20" s="24">
        <f t="shared" si="4"/>
        <v>0</v>
      </c>
      <c r="P20" s="24">
        <f t="shared" si="4"/>
        <v>0</v>
      </c>
      <c r="Q20" s="24">
        <f t="shared" si="4"/>
        <v>0</v>
      </c>
      <c r="R20" s="24">
        <f t="shared" si="4"/>
        <v>0</v>
      </c>
      <c r="S20" s="24">
        <f t="shared" si="4"/>
        <v>0</v>
      </c>
      <c r="T20" s="24">
        <f t="shared" si="4"/>
        <v>0</v>
      </c>
      <c r="U20" s="24">
        <f t="shared" si="4"/>
        <v>0</v>
      </c>
      <c r="V20" s="24">
        <f t="shared" si="4"/>
        <v>0</v>
      </c>
      <c r="W20" s="24">
        <f t="shared" si="4"/>
        <v>0</v>
      </c>
      <c r="X20" s="24">
        <f t="shared" si="4"/>
        <v>0</v>
      </c>
      <c r="Y20" s="24">
        <f t="shared" si="4"/>
        <v>0</v>
      </c>
      <c r="Z20" s="24">
        <f t="shared" si="4"/>
        <v>0</v>
      </c>
      <c r="AA20" s="24">
        <f t="shared" si="4"/>
        <v>0</v>
      </c>
      <c r="AB20" s="24">
        <f t="shared" si="4"/>
        <v>0</v>
      </c>
      <c r="AC20" s="24">
        <f t="shared" si="4"/>
        <v>0</v>
      </c>
      <c r="AD20" s="24">
        <f t="shared" si="4"/>
        <v>0</v>
      </c>
      <c r="AE20" s="24">
        <f t="shared" si="4"/>
        <v>0</v>
      </c>
      <c r="AF20" s="24">
        <f t="shared" si="4"/>
        <v>0</v>
      </c>
      <c r="AG20" s="24">
        <f t="shared" si="4"/>
        <v>0</v>
      </c>
      <c r="AH20" s="24">
        <f t="shared" si="4"/>
        <v>0</v>
      </c>
      <c r="AI20" s="24">
        <f t="shared" si="4"/>
        <v>0</v>
      </c>
      <c r="AJ20" s="24">
        <f t="shared" si="4"/>
        <v>0</v>
      </c>
      <c r="AK20" s="24">
        <f t="shared" si="4"/>
        <v>0</v>
      </c>
      <c r="AL20" s="24">
        <f t="shared" si="4"/>
        <v>0</v>
      </c>
      <c r="AM20" s="24">
        <f t="shared" si="4"/>
        <v>0</v>
      </c>
      <c r="AN20" s="24">
        <f t="shared" si="4"/>
        <v>0</v>
      </c>
      <c r="AO20" s="24">
        <f t="shared" si="4"/>
        <v>0</v>
      </c>
      <c r="AP20" s="24">
        <f t="shared" si="4"/>
        <v>0</v>
      </c>
      <c r="AQ20" s="24">
        <f t="shared" si="4"/>
        <v>0</v>
      </c>
      <c r="AR20" s="24">
        <f t="shared" si="4"/>
        <v>0</v>
      </c>
      <c r="AS20" s="24">
        <f t="shared" si="4"/>
        <v>0</v>
      </c>
      <c r="AT20" s="24">
        <f t="shared" si="4"/>
        <v>0</v>
      </c>
      <c r="AU20" s="24">
        <f t="shared" si="4"/>
        <v>0</v>
      </c>
      <c r="AV20" s="24">
        <f t="shared" si="4"/>
        <v>0</v>
      </c>
      <c r="AW20" s="25">
        <f t="shared" si="4"/>
        <v>0</v>
      </c>
    </row>
    <row r="21" spans="1:49" ht="15.75" thickBot="1" x14ac:dyDescent="0.3">
      <c r="A21" s="35" t="s">
        <v>2</v>
      </c>
      <c r="B21" s="22" t="str">
        <f>IF(B20=0, CONCATENATE(B19), CONCATENATE(B19, ",",B20))</f>
        <v>0</v>
      </c>
      <c r="C21" s="22" t="str">
        <f t="shared" ref="C21:AW21" si="5">IF(C20=0, CONCATENATE(C19), CONCATENATE(C19, ",",C20))</f>
        <v>0</v>
      </c>
      <c r="D21" s="22" t="str">
        <f t="shared" si="5"/>
        <v>0</v>
      </c>
      <c r="E21" s="22" t="str">
        <f t="shared" si="5"/>
        <v>0</v>
      </c>
      <c r="F21" s="22" t="str">
        <f t="shared" si="5"/>
        <v>0</v>
      </c>
      <c r="G21" s="22" t="str">
        <f t="shared" si="5"/>
        <v>0</v>
      </c>
      <c r="H21" s="22" t="str">
        <f t="shared" si="5"/>
        <v>2</v>
      </c>
      <c r="I21" s="22" t="str">
        <f t="shared" si="5"/>
        <v>2</v>
      </c>
      <c r="J21" s="22" t="str">
        <f t="shared" si="5"/>
        <v>2</v>
      </c>
      <c r="K21" s="22" t="str">
        <f t="shared" si="5"/>
        <v>2</v>
      </c>
      <c r="L21" s="22" t="str">
        <f t="shared" si="5"/>
        <v>2</v>
      </c>
      <c r="M21" s="22" t="str">
        <f t="shared" si="5"/>
        <v>2</v>
      </c>
      <c r="N21" s="22" t="str">
        <f t="shared" si="5"/>
        <v>0</v>
      </c>
      <c r="O21" s="22" t="str">
        <f t="shared" si="5"/>
        <v>0</v>
      </c>
      <c r="P21" s="22" t="str">
        <f t="shared" si="5"/>
        <v>0</v>
      </c>
      <c r="Q21" s="22" t="str">
        <f t="shared" si="5"/>
        <v>0</v>
      </c>
      <c r="R21" s="22" t="str">
        <f t="shared" si="5"/>
        <v>1</v>
      </c>
      <c r="S21" s="22" t="str">
        <f t="shared" si="5"/>
        <v>1</v>
      </c>
      <c r="T21" s="22" t="str">
        <f t="shared" si="5"/>
        <v>1</v>
      </c>
      <c r="U21" s="22" t="str">
        <f t="shared" si="5"/>
        <v>2</v>
      </c>
      <c r="V21" s="22" t="str">
        <f t="shared" si="5"/>
        <v>2</v>
      </c>
      <c r="W21" s="22" t="str">
        <f t="shared" si="5"/>
        <v>2</v>
      </c>
      <c r="X21" s="22" t="str">
        <f t="shared" si="5"/>
        <v>2</v>
      </c>
      <c r="Y21" s="22" t="str">
        <f t="shared" si="5"/>
        <v>2</v>
      </c>
      <c r="Z21" s="22" t="str">
        <f t="shared" si="5"/>
        <v>2</v>
      </c>
      <c r="AA21" s="22" t="str">
        <f t="shared" si="5"/>
        <v>0</v>
      </c>
      <c r="AB21" s="22" t="str">
        <f t="shared" si="5"/>
        <v>0</v>
      </c>
      <c r="AC21" s="22" t="str">
        <f t="shared" si="5"/>
        <v>0</v>
      </c>
      <c r="AD21" s="22" t="str">
        <f t="shared" si="5"/>
        <v>1</v>
      </c>
      <c r="AE21" s="22" t="str">
        <f t="shared" si="5"/>
        <v>1</v>
      </c>
      <c r="AF21" s="22" t="str">
        <f t="shared" si="5"/>
        <v>1</v>
      </c>
      <c r="AG21" s="22" t="str">
        <f t="shared" si="5"/>
        <v>2</v>
      </c>
      <c r="AH21" s="22" t="str">
        <f t="shared" si="5"/>
        <v>2</v>
      </c>
      <c r="AI21" s="22" t="str">
        <f t="shared" si="5"/>
        <v>2</v>
      </c>
      <c r="AJ21" s="22" t="str">
        <f t="shared" si="5"/>
        <v>2</v>
      </c>
      <c r="AK21" s="22" t="str">
        <f t="shared" si="5"/>
        <v>2</v>
      </c>
      <c r="AL21" s="22" t="str">
        <f t="shared" si="5"/>
        <v>2</v>
      </c>
      <c r="AM21" s="22" t="str">
        <f t="shared" si="5"/>
        <v>0</v>
      </c>
      <c r="AN21" s="22" t="str">
        <f t="shared" si="5"/>
        <v>0</v>
      </c>
      <c r="AO21" s="22" t="str">
        <f t="shared" si="5"/>
        <v>0</v>
      </c>
      <c r="AP21" s="22" t="str">
        <f t="shared" si="5"/>
        <v>0</v>
      </c>
      <c r="AQ21" s="22" t="str">
        <f t="shared" si="5"/>
        <v>2</v>
      </c>
      <c r="AR21" s="22" t="str">
        <f t="shared" si="5"/>
        <v>2</v>
      </c>
      <c r="AS21" s="22" t="str">
        <f t="shared" si="5"/>
        <v>2</v>
      </c>
      <c r="AT21" s="22" t="str">
        <f t="shared" si="5"/>
        <v>0</v>
      </c>
      <c r="AU21" s="22" t="str">
        <f t="shared" si="5"/>
        <v>0</v>
      </c>
      <c r="AV21" s="22" t="str">
        <f t="shared" si="5"/>
        <v>0</v>
      </c>
      <c r="AW21" s="23" t="str">
        <f t="shared" si="5"/>
        <v>0</v>
      </c>
    </row>
    <row r="22" spans="1:49" ht="15.75" thickBot="1" x14ac:dyDescent="0.3">
      <c r="A22" s="35" t="s">
        <v>19</v>
      </c>
      <c r="B22" s="21" t="str">
        <f>IF(SUM(B10,B20) = 0, CONCATENATE(SUM(B9+B19)), CONCATENATE(SUM(B9,B19), ",", SUM(B10,B20)))</f>
        <v>6</v>
      </c>
      <c r="C22" s="21" t="str">
        <f t="shared" ref="C22:AW22" si="6">IF(SUM(C10,C20) = 0, CONCATENATE(SUM(C9+C19)), CONCATENATE(SUM(C9,C19), ",", SUM(C10,C20)))</f>
        <v>6</v>
      </c>
      <c r="D22" s="21" t="str">
        <f t="shared" si="6"/>
        <v>6</v>
      </c>
      <c r="E22" s="21" t="str">
        <f t="shared" si="6"/>
        <v>6</v>
      </c>
      <c r="F22" s="21" t="str">
        <f t="shared" si="6"/>
        <v>6</v>
      </c>
      <c r="G22" s="21" t="str">
        <f t="shared" si="6"/>
        <v>6</v>
      </c>
      <c r="H22" s="21" t="str">
        <f t="shared" si="6"/>
        <v>6</v>
      </c>
      <c r="I22" s="21" t="str">
        <f t="shared" si="6"/>
        <v>6</v>
      </c>
      <c r="J22" s="21" t="str">
        <f t="shared" si="6"/>
        <v>6</v>
      </c>
      <c r="K22" s="21" t="str">
        <f t="shared" si="6"/>
        <v>6</v>
      </c>
      <c r="L22" s="21" t="str">
        <f t="shared" si="6"/>
        <v>6</v>
      </c>
      <c r="M22" s="21" t="str">
        <f t="shared" si="6"/>
        <v>6</v>
      </c>
      <c r="N22" s="21" t="str">
        <f t="shared" si="6"/>
        <v>6</v>
      </c>
      <c r="O22" s="21" t="str">
        <f t="shared" si="6"/>
        <v>6</v>
      </c>
      <c r="P22" s="21" t="str">
        <f t="shared" si="6"/>
        <v>6</v>
      </c>
      <c r="Q22" s="21" t="str">
        <f t="shared" si="6"/>
        <v>6</v>
      </c>
      <c r="R22" s="21" t="str">
        <f t="shared" si="6"/>
        <v>5</v>
      </c>
      <c r="S22" s="21" t="str">
        <f t="shared" si="6"/>
        <v>5</v>
      </c>
      <c r="T22" s="21" t="str">
        <f t="shared" si="6"/>
        <v>5</v>
      </c>
      <c r="U22" s="21" t="str">
        <f t="shared" si="6"/>
        <v>6</v>
      </c>
      <c r="V22" s="21" t="str">
        <f t="shared" si="6"/>
        <v>6</v>
      </c>
      <c r="W22" s="21" t="str">
        <f t="shared" si="6"/>
        <v>6</v>
      </c>
      <c r="X22" s="21" t="str">
        <f t="shared" si="6"/>
        <v>6</v>
      </c>
      <c r="Y22" s="21" t="str">
        <f t="shared" si="6"/>
        <v>6</v>
      </c>
      <c r="Z22" s="21" t="str">
        <f t="shared" si="6"/>
        <v>6</v>
      </c>
      <c r="AA22" s="21" t="str">
        <f t="shared" si="6"/>
        <v>6</v>
      </c>
      <c r="AB22" s="21" t="str">
        <f t="shared" si="6"/>
        <v>6</v>
      </c>
      <c r="AC22" s="21" t="str">
        <f t="shared" si="6"/>
        <v>6</v>
      </c>
      <c r="AD22" s="21" t="str">
        <f t="shared" si="6"/>
        <v>5</v>
      </c>
      <c r="AE22" s="21" t="str">
        <f t="shared" si="6"/>
        <v>5</v>
      </c>
      <c r="AF22" s="21" t="str">
        <f t="shared" si="6"/>
        <v>5</v>
      </c>
      <c r="AG22" s="21" t="str">
        <f t="shared" si="6"/>
        <v>6</v>
      </c>
      <c r="AH22" s="21" t="str">
        <f t="shared" si="6"/>
        <v>6</v>
      </c>
      <c r="AI22" s="21" t="str">
        <f t="shared" si="6"/>
        <v>6</v>
      </c>
      <c r="AJ22" s="21" t="str">
        <f t="shared" si="6"/>
        <v>6</v>
      </c>
      <c r="AK22" s="21" t="str">
        <f t="shared" si="6"/>
        <v>6</v>
      </c>
      <c r="AL22" s="21" t="str">
        <f t="shared" si="6"/>
        <v>6</v>
      </c>
      <c r="AM22" s="21" t="str">
        <f t="shared" si="6"/>
        <v>6</v>
      </c>
      <c r="AN22" s="21" t="str">
        <f t="shared" si="6"/>
        <v>6</v>
      </c>
      <c r="AO22" s="21" t="str">
        <f t="shared" si="6"/>
        <v>6</v>
      </c>
      <c r="AP22" s="21" t="str">
        <f t="shared" si="6"/>
        <v>6</v>
      </c>
      <c r="AQ22" s="21" t="str">
        <f t="shared" si="6"/>
        <v>6</v>
      </c>
      <c r="AR22" s="21" t="str">
        <f t="shared" si="6"/>
        <v>6</v>
      </c>
      <c r="AS22" s="21" t="str">
        <f t="shared" si="6"/>
        <v>6</v>
      </c>
      <c r="AT22" s="21" t="str">
        <f t="shared" si="6"/>
        <v>6</v>
      </c>
      <c r="AU22" s="21" t="str">
        <f t="shared" si="6"/>
        <v>6</v>
      </c>
      <c r="AV22" s="21" t="str">
        <f t="shared" si="6"/>
        <v>6</v>
      </c>
      <c r="AW22" s="39" t="str">
        <f t="shared" si="6"/>
        <v>6</v>
      </c>
    </row>
  </sheetData>
  <mergeCells count="2">
    <mergeCell ref="A2:AW2"/>
    <mergeCell ref="A12:AW12"/>
  </mergeCells>
  <conditionalFormatting sqref="B3:AW10 B13:AW20">
    <cfRule type="cellIs" dxfId="35" priority="1" operator="equal">
      <formula>"AL1"</formula>
    </cfRule>
    <cfRule type="cellIs" dxfId="34" priority="2" operator="equal">
      <formula>"Acar1"</formula>
    </cfRule>
    <cfRule type="cellIs" dxfId="33" priority="3" operator="equal">
      <formula>"AL2"</formula>
    </cfRule>
    <cfRule type="cellIs" dxfId="32" priority="4" operator="equal">
      <formula>"Acar2"</formula>
    </cfRule>
    <cfRule type="cellIs" dxfId="31" priority="5" operator="equal">
      <formula>"AL3"</formula>
    </cfRule>
    <cfRule type="cellIs" dxfId="30" priority="6" operator="equal">
      <formula>"Acar3"</formula>
    </cfRule>
    <cfRule type="cellIs" dxfId="29" priority="7" operator="equal">
      <formula>"AL4"</formula>
    </cfRule>
    <cfRule type="cellIs" dxfId="28" priority="8" operator="equal">
      <formula>"Acar4"</formula>
    </cfRule>
    <cfRule type="cellIs" dxfId="27" priority="9" operator="equal">
      <formula>"AL5"</formula>
    </cfRule>
    <cfRule type="cellIs" dxfId="26" priority="10" operator="equal">
      <formula>"Acar5"</formula>
    </cfRule>
    <cfRule type="cellIs" dxfId="25" priority="11" operator="equal">
      <formula>"AL6"</formula>
    </cfRule>
    <cfRule type="cellIs" dxfId="24" priority="12" operator="equal">
      <formula>"Acar6"</formula>
    </cfRule>
  </conditionalFormatting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FF9703B-4EAA-4F2B-95B0-267029D04B61}">
          <x14:formula1>
            <xm:f>List!$F$2:$F$19</xm:f>
          </x14:formula1>
          <xm:sqref>B13:AW18 B3:AW8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B5406E-B8DA-41DF-A8A2-83751F984935}">
  <dimension ref="A1:AW22"/>
  <sheetViews>
    <sheetView tabSelected="1" zoomScale="85" zoomScaleNormal="85" workbookViewId="0">
      <pane xSplit="1" ySplit="2" topLeftCell="B3" activePane="bottomRight" state="frozen"/>
      <selection pane="topRight" activeCell="C1" sqref="C1"/>
      <selection pane="bottomLeft" activeCell="A6" sqref="A6"/>
      <selection pane="bottomRight" activeCell="G38" sqref="G38"/>
    </sheetView>
  </sheetViews>
  <sheetFormatPr defaultRowHeight="15" x14ac:dyDescent="0.25"/>
  <cols>
    <col min="1" max="1" width="11.28515625" bestFit="1" customWidth="1"/>
    <col min="2" max="49" width="6.5703125" bestFit="1" customWidth="1"/>
  </cols>
  <sheetData>
    <row r="1" spans="1:49" ht="15.75" thickBot="1" x14ac:dyDescent="0.3">
      <c r="A1" s="36" t="s">
        <v>0</v>
      </c>
      <c r="B1" s="1">
        <v>0.41666666666666669</v>
      </c>
      <c r="C1" s="2">
        <v>0.42708333333333331</v>
      </c>
      <c r="D1" s="2">
        <v>0.4375</v>
      </c>
      <c r="E1" s="2">
        <v>0.44791666666666702</v>
      </c>
      <c r="F1" s="1">
        <v>0.45833333333333298</v>
      </c>
      <c r="G1" s="2">
        <v>0.46875</v>
      </c>
      <c r="H1" s="2">
        <v>0.47916666666666602</v>
      </c>
      <c r="I1" s="3">
        <v>0.48958333333333298</v>
      </c>
      <c r="J1" s="1">
        <v>0.5</v>
      </c>
      <c r="K1" s="2">
        <v>0.51041666666666596</v>
      </c>
      <c r="L1" s="2">
        <v>0.52083333333333304</v>
      </c>
      <c r="M1" s="2">
        <v>0.53125</v>
      </c>
      <c r="N1" s="1">
        <v>0.54166666666666696</v>
      </c>
      <c r="O1" s="2">
        <v>0.55208333333333304</v>
      </c>
      <c r="P1" s="2">
        <v>0.5625</v>
      </c>
      <c r="Q1" s="2">
        <v>0.57291666666666596</v>
      </c>
      <c r="R1" s="1">
        <v>0.58333333333333304</v>
      </c>
      <c r="S1" s="2">
        <v>0.59375</v>
      </c>
      <c r="T1" s="2">
        <v>0.60416666666666596</v>
      </c>
      <c r="U1" s="2">
        <v>0.61458333333333304</v>
      </c>
      <c r="V1" s="1">
        <v>0.625</v>
      </c>
      <c r="W1" s="2">
        <v>0.63541666666666596</v>
      </c>
      <c r="X1" s="2">
        <v>0.64583333333333304</v>
      </c>
      <c r="Y1" s="2">
        <v>0.656249999999999</v>
      </c>
      <c r="Z1" s="1">
        <v>0.66666666666666596</v>
      </c>
      <c r="AA1" s="2">
        <v>0.67708333333333304</v>
      </c>
      <c r="AB1" s="2">
        <v>0.687499999999999</v>
      </c>
      <c r="AC1" s="2">
        <v>0.69791666666666596</v>
      </c>
      <c r="AD1" s="1">
        <v>0.70833333333333304</v>
      </c>
      <c r="AE1" s="2">
        <v>0.718749999999999</v>
      </c>
      <c r="AF1" s="2">
        <v>0.72916666666666596</v>
      </c>
      <c r="AG1" s="2">
        <v>0.73958333333333304</v>
      </c>
      <c r="AH1" s="1">
        <v>0.749999999999999</v>
      </c>
      <c r="AI1" s="2">
        <v>0.76041666666666596</v>
      </c>
      <c r="AJ1" s="2">
        <v>0.77083333333333204</v>
      </c>
      <c r="AK1" s="2">
        <v>0.781249999999999</v>
      </c>
      <c r="AL1" s="1">
        <v>0.79166666666666596</v>
      </c>
      <c r="AM1" s="2">
        <v>0.80208333333333204</v>
      </c>
      <c r="AN1" s="2">
        <v>0.812499999999999</v>
      </c>
      <c r="AO1" s="2">
        <v>0.82291666666666596</v>
      </c>
      <c r="AP1" s="1">
        <v>0.83333333333333204</v>
      </c>
      <c r="AQ1" s="2">
        <v>0.843749999999999</v>
      </c>
      <c r="AR1" s="2">
        <v>0.85416666666666496</v>
      </c>
      <c r="AS1" s="2">
        <v>0.86458333333333204</v>
      </c>
      <c r="AT1" s="1">
        <v>0.874999999999999</v>
      </c>
      <c r="AU1" s="2">
        <v>0.88541666666666496</v>
      </c>
      <c r="AV1" s="2">
        <v>0.89583333333333204</v>
      </c>
      <c r="AW1" s="3">
        <v>0.906249999999999</v>
      </c>
    </row>
    <row r="2" spans="1:49" ht="15.75" thickBot="1" x14ac:dyDescent="0.3">
      <c r="A2" s="44" t="s">
        <v>15</v>
      </c>
      <c r="B2" s="45"/>
      <c r="C2" s="45"/>
      <c r="D2" s="45"/>
      <c r="E2" s="45"/>
      <c r="F2" s="45"/>
      <c r="G2" s="45"/>
      <c r="H2" s="45"/>
      <c r="I2" s="45"/>
      <c r="J2" s="45"/>
      <c r="K2" s="45"/>
      <c r="L2" s="45"/>
      <c r="M2" s="45"/>
      <c r="N2" s="45"/>
      <c r="O2" s="45"/>
      <c r="P2" s="45"/>
      <c r="Q2" s="45"/>
      <c r="R2" s="45"/>
      <c r="S2" s="45"/>
      <c r="T2" s="45"/>
      <c r="U2" s="45"/>
      <c r="V2" s="45"/>
      <c r="W2" s="45"/>
      <c r="X2" s="45"/>
      <c r="Y2" s="45"/>
      <c r="Z2" s="45"/>
      <c r="AA2" s="45"/>
      <c r="AB2" s="45"/>
      <c r="AC2" s="45"/>
      <c r="AD2" s="45"/>
      <c r="AE2" s="45"/>
      <c r="AF2" s="45"/>
      <c r="AG2" s="45"/>
      <c r="AH2" s="45"/>
      <c r="AI2" s="45"/>
      <c r="AJ2" s="45"/>
      <c r="AK2" s="45"/>
      <c r="AL2" s="45"/>
      <c r="AM2" s="45"/>
      <c r="AN2" s="45"/>
      <c r="AO2" s="45"/>
      <c r="AP2" s="45"/>
      <c r="AQ2" s="45"/>
      <c r="AR2" s="45"/>
      <c r="AS2" s="45"/>
      <c r="AT2" s="45"/>
      <c r="AU2" s="45"/>
      <c r="AV2" s="45"/>
      <c r="AW2" s="46"/>
    </row>
    <row r="3" spans="1:49" x14ac:dyDescent="0.25">
      <c r="A3" s="7" t="s">
        <v>22</v>
      </c>
      <c r="B3" s="28" t="s">
        <v>22</v>
      </c>
      <c r="C3" s="41" t="s">
        <v>22</v>
      </c>
      <c r="D3" s="28" t="s">
        <v>22</v>
      </c>
      <c r="E3" s="28" t="s">
        <v>22</v>
      </c>
      <c r="F3" s="28" t="s">
        <v>22</v>
      </c>
      <c r="G3" s="28" t="s">
        <v>22</v>
      </c>
      <c r="H3" s="28" t="s">
        <v>3</v>
      </c>
      <c r="I3" s="28" t="s">
        <v>3</v>
      </c>
      <c r="J3" s="28" t="s">
        <v>22</v>
      </c>
      <c r="K3" s="28" t="s">
        <v>22</v>
      </c>
      <c r="L3" s="28" t="s">
        <v>22</v>
      </c>
      <c r="M3" s="28" t="s">
        <v>22</v>
      </c>
      <c r="N3" s="28" t="s">
        <v>22</v>
      </c>
      <c r="O3" s="28" t="s">
        <v>22</v>
      </c>
      <c r="P3" s="28" t="s">
        <v>22</v>
      </c>
      <c r="Q3" s="28" t="s">
        <v>22</v>
      </c>
      <c r="R3" s="28" t="s">
        <v>3</v>
      </c>
      <c r="S3" s="28" t="s">
        <v>3</v>
      </c>
      <c r="T3" s="28" t="s">
        <v>3</v>
      </c>
      <c r="U3" s="28" t="s">
        <v>22</v>
      </c>
      <c r="V3" s="28" t="s">
        <v>22</v>
      </c>
      <c r="W3" s="28" t="s">
        <v>22</v>
      </c>
      <c r="X3" s="28" t="s">
        <v>22</v>
      </c>
      <c r="Y3" s="28" t="s">
        <v>22</v>
      </c>
      <c r="Z3" s="28" t="s">
        <v>22</v>
      </c>
      <c r="AA3" s="28" t="s">
        <v>22</v>
      </c>
      <c r="AB3" s="28" t="s">
        <v>22</v>
      </c>
      <c r="AC3" s="28" t="s">
        <v>22</v>
      </c>
      <c r="AD3" s="28" t="s">
        <v>3</v>
      </c>
      <c r="AE3" s="28" t="s">
        <v>3</v>
      </c>
      <c r="AF3" s="28" t="s">
        <v>3</v>
      </c>
      <c r="AG3" s="28" t="s">
        <v>22</v>
      </c>
      <c r="AH3" s="28" t="s">
        <v>22</v>
      </c>
      <c r="AI3" s="28" t="s">
        <v>22</v>
      </c>
      <c r="AJ3" s="28" t="s">
        <v>22</v>
      </c>
      <c r="AK3" s="28" t="s">
        <v>22</v>
      </c>
      <c r="AL3" s="28" t="s">
        <v>22</v>
      </c>
      <c r="AM3" s="28" t="s">
        <v>22</v>
      </c>
      <c r="AN3" s="28" t="s">
        <v>22</v>
      </c>
      <c r="AO3" s="28" t="s">
        <v>22</v>
      </c>
      <c r="AP3" s="28" t="s">
        <v>22</v>
      </c>
      <c r="AQ3" s="28" t="s">
        <v>3</v>
      </c>
      <c r="AR3" s="28" t="s">
        <v>22</v>
      </c>
      <c r="AS3" s="28" t="s">
        <v>22</v>
      </c>
      <c r="AT3" s="28" t="s">
        <v>22</v>
      </c>
      <c r="AU3" s="28" t="s">
        <v>22</v>
      </c>
      <c r="AV3" s="28" t="s">
        <v>22</v>
      </c>
      <c r="AW3" s="29" t="s">
        <v>22</v>
      </c>
    </row>
    <row r="4" spans="1:49" x14ac:dyDescent="0.25">
      <c r="A4" s="8" t="s">
        <v>23</v>
      </c>
      <c r="B4" s="26" t="s">
        <v>23</v>
      </c>
      <c r="C4" s="42" t="s">
        <v>23</v>
      </c>
      <c r="D4" s="26" t="s">
        <v>23</v>
      </c>
      <c r="E4" s="26" t="s">
        <v>23</v>
      </c>
      <c r="F4" s="26" t="s">
        <v>23</v>
      </c>
      <c r="G4" s="26" t="s">
        <v>23</v>
      </c>
      <c r="H4" s="26" t="s">
        <v>3</v>
      </c>
      <c r="I4" s="26" t="s">
        <v>3</v>
      </c>
      <c r="J4" s="26" t="s">
        <v>23</v>
      </c>
      <c r="K4" s="26" t="s">
        <v>23</v>
      </c>
      <c r="L4" s="26" t="s">
        <v>23</v>
      </c>
      <c r="M4" s="26" t="s">
        <v>23</v>
      </c>
      <c r="N4" s="26" t="s">
        <v>23</v>
      </c>
      <c r="O4" s="26" t="s">
        <v>23</v>
      </c>
      <c r="P4" s="26" t="s">
        <v>23</v>
      </c>
      <c r="Q4" s="26" t="s">
        <v>23</v>
      </c>
      <c r="R4" s="26" t="s">
        <v>3</v>
      </c>
      <c r="S4" s="26" t="s">
        <v>3</v>
      </c>
      <c r="T4" s="26" t="s">
        <v>3</v>
      </c>
      <c r="U4" s="26" t="s">
        <v>23</v>
      </c>
      <c r="V4" s="26" t="s">
        <v>23</v>
      </c>
      <c r="W4" s="26" t="s">
        <v>23</v>
      </c>
      <c r="X4" s="26" t="s">
        <v>23</v>
      </c>
      <c r="Y4" s="26" t="s">
        <v>23</v>
      </c>
      <c r="Z4" s="26" t="s">
        <v>23</v>
      </c>
      <c r="AA4" s="26" t="s">
        <v>23</v>
      </c>
      <c r="AB4" s="26" t="s">
        <v>23</v>
      </c>
      <c r="AC4" s="26" t="s">
        <v>23</v>
      </c>
      <c r="AD4" s="26" t="s">
        <v>3</v>
      </c>
      <c r="AE4" s="26" t="s">
        <v>3</v>
      </c>
      <c r="AF4" s="26" t="s">
        <v>3</v>
      </c>
      <c r="AG4" s="26" t="s">
        <v>23</v>
      </c>
      <c r="AH4" s="26" t="s">
        <v>23</v>
      </c>
      <c r="AI4" s="26" t="s">
        <v>23</v>
      </c>
      <c r="AJ4" s="26" t="s">
        <v>23</v>
      </c>
      <c r="AK4" s="26" t="s">
        <v>23</v>
      </c>
      <c r="AL4" s="26" t="s">
        <v>23</v>
      </c>
      <c r="AM4" s="26" t="s">
        <v>23</v>
      </c>
      <c r="AN4" s="26" t="s">
        <v>23</v>
      </c>
      <c r="AO4" s="26" t="s">
        <v>23</v>
      </c>
      <c r="AP4" s="26" t="s">
        <v>23</v>
      </c>
      <c r="AQ4" s="26" t="s">
        <v>3</v>
      </c>
      <c r="AR4" s="26" t="s">
        <v>23</v>
      </c>
      <c r="AS4" s="26" t="s">
        <v>23</v>
      </c>
      <c r="AT4" s="26" t="s">
        <v>23</v>
      </c>
      <c r="AU4" s="26" t="s">
        <v>23</v>
      </c>
      <c r="AV4" s="26" t="s">
        <v>23</v>
      </c>
      <c r="AW4" s="31" t="s">
        <v>23</v>
      </c>
    </row>
    <row r="5" spans="1:49" x14ac:dyDescent="0.25">
      <c r="A5" s="8" t="s">
        <v>24</v>
      </c>
      <c r="B5" s="26" t="s">
        <v>24</v>
      </c>
      <c r="C5" s="42" t="s">
        <v>24</v>
      </c>
      <c r="D5" s="26" t="s">
        <v>24</v>
      </c>
      <c r="E5" s="26" t="s">
        <v>24</v>
      </c>
      <c r="F5" s="26" t="s">
        <v>24</v>
      </c>
      <c r="G5" s="26" t="s">
        <v>24</v>
      </c>
      <c r="H5" s="26" t="s">
        <v>24</v>
      </c>
      <c r="I5" s="26" t="s">
        <v>24</v>
      </c>
      <c r="J5" s="26" t="s">
        <v>3</v>
      </c>
      <c r="K5" s="26" t="s">
        <v>3</v>
      </c>
      <c r="L5" s="26" t="s">
        <v>24</v>
      </c>
      <c r="M5" s="26" t="s">
        <v>24</v>
      </c>
      <c r="N5" s="26" t="s">
        <v>24</v>
      </c>
      <c r="O5" s="26" t="s">
        <v>24</v>
      </c>
      <c r="P5" s="26" t="s">
        <v>24</v>
      </c>
      <c r="Q5" s="26" t="s">
        <v>24</v>
      </c>
      <c r="R5" s="26" t="s">
        <v>24</v>
      </c>
      <c r="S5" s="26" t="s">
        <v>24</v>
      </c>
      <c r="T5" s="26" t="s">
        <v>24</v>
      </c>
      <c r="U5" s="26" t="s">
        <v>3</v>
      </c>
      <c r="V5" s="26" t="s">
        <v>3</v>
      </c>
      <c r="W5" s="26" t="s">
        <v>3</v>
      </c>
      <c r="X5" s="26" t="s">
        <v>24</v>
      </c>
      <c r="Y5" s="26" t="s">
        <v>24</v>
      </c>
      <c r="Z5" s="26" t="s">
        <v>24</v>
      </c>
      <c r="AA5" s="26" t="s">
        <v>24</v>
      </c>
      <c r="AB5" s="26" t="s">
        <v>24</v>
      </c>
      <c r="AC5" s="26" t="s">
        <v>24</v>
      </c>
      <c r="AD5" s="26" t="s">
        <v>24</v>
      </c>
      <c r="AE5" s="26" t="s">
        <v>24</v>
      </c>
      <c r="AF5" s="26" t="s">
        <v>24</v>
      </c>
      <c r="AG5" s="26" t="s">
        <v>3</v>
      </c>
      <c r="AH5" s="26" t="s">
        <v>3</v>
      </c>
      <c r="AI5" s="26" t="s">
        <v>3</v>
      </c>
      <c r="AJ5" s="26" t="s">
        <v>24</v>
      </c>
      <c r="AK5" s="26" t="s">
        <v>24</v>
      </c>
      <c r="AL5" s="26" t="s">
        <v>24</v>
      </c>
      <c r="AM5" s="26" t="s">
        <v>24</v>
      </c>
      <c r="AN5" s="26" t="s">
        <v>24</v>
      </c>
      <c r="AO5" s="26" t="s">
        <v>24</v>
      </c>
      <c r="AP5" s="26" t="s">
        <v>24</v>
      </c>
      <c r="AQ5" s="26" t="s">
        <v>24</v>
      </c>
      <c r="AR5" s="26" t="s">
        <v>3</v>
      </c>
      <c r="AS5" s="26" t="s">
        <v>24</v>
      </c>
      <c r="AT5" s="26" t="s">
        <v>24</v>
      </c>
      <c r="AU5" s="26" t="s">
        <v>24</v>
      </c>
      <c r="AV5" s="26" t="s">
        <v>24</v>
      </c>
      <c r="AW5" s="31" t="s">
        <v>24</v>
      </c>
    </row>
    <row r="6" spans="1:49" x14ac:dyDescent="0.25">
      <c r="A6" s="8" t="s">
        <v>25</v>
      </c>
      <c r="B6" s="26" t="s">
        <v>25</v>
      </c>
      <c r="C6" s="42" t="s">
        <v>25</v>
      </c>
      <c r="D6" s="26" t="s">
        <v>25</v>
      </c>
      <c r="E6" s="26" t="s">
        <v>25</v>
      </c>
      <c r="F6" s="26" t="s">
        <v>25</v>
      </c>
      <c r="G6" s="26" t="s">
        <v>25</v>
      </c>
      <c r="H6" s="26" t="s">
        <v>25</v>
      </c>
      <c r="I6" s="26" t="s">
        <v>25</v>
      </c>
      <c r="J6" s="26" t="s">
        <v>3</v>
      </c>
      <c r="K6" s="26" t="s">
        <v>3</v>
      </c>
      <c r="L6" s="26" t="s">
        <v>25</v>
      </c>
      <c r="M6" s="26" t="s">
        <v>25</v>
      </c>
      <c r="N6" s="26" t="s">
        <v>25</v>
      </c>
      <c r="O6" s="26" t="s">
        <v>25</v>
      </c>
      <c r="P6" s="26" t="s">
        <v>25</v>
      </c>
      <c r="Q6" s="26" t="s">
        <v>25</v>
      </c>
      <c r="R6" s="26" t="s">
        <v>25</v>
      </c>
      <c r="S6" s="26" t="s">
        <v>25</v>
      </c>
      <c r="T6" s="26" t="s">
        <v>25</v>
      </c>
      <c r="U6" s="26" t="s">
        <v>3</v>
      </c>
      <c r="V6" s="26" t="s">
        <v>3</v>
      </c>
      <c r="W6" s="26" t="s">
        <v>3</v>
      </c>
      <c r="X6" s="26" t="s">
        <v>25</v>
      </c>
      <c r="Y6" s="26" t="s">
        <v>25</v>
      </c>
      <c r="Z6" s="26" t="s">
        <v>25</v>
      </c>
      <c r="AA6" s="26" t="s">
        <v>25</v>
      </c>
      <c r="AB6" s="26" t="s">
        <v>25</v>
      </c>
      <c r="AC6" s="26" t="s">
        <v>25</v>
      </c>
      <c r="AD6" s="26" t="s">
        <v>25</v>
      </c>
      <c r="AE6" s="26" t="s">
        <v>25</v>
      </c>
      <c r="AF6" s="26" t="s">
        <v>25</v>
      </c>
      <c r="AG6" s="26" t="s">
        <v>3</v>
      </c>
      <c r="AH6" s="26" t="s">
        <v>3</v>
      </c>
      <c r="AI6" s="26" t="s">
        <v>3</v>
      </c>
      <c r="AJ6" s="26" t="s">
        <v>25</v>
      </c>
      <c r="AK6" s="26" t="s">
        <v>25</v>
      </c>
      <c r="AL6" s="26" t="s">
        <v>25</v>
      </c>
      <c r="AM6" s="26" t="s">
        <v>25</v>
      </c>
      <c r="AN6" s="26" t="s">
        <v>25</v>
      </c>
      <c r="AO6" s="26" t="s">
        <v>25</v>
      </c>
      <c r="AP6" s="26" t="s">
        <v>25</v>
      </c>
      <c r="AQ6" s="26" t="s">
        <v>25</v>
      </c>
      <c r="AR6" s="26" t="s">
        <v>3</v>
      </c>
      <c r="AS6" s="26" t="s">
        <v>25</v>
      </c>
      <c r="AT6" s="26" t="s">
        <v>25</v>
      </c>
      <c r="AU6" s="26" t="s">
        <v>25</v>
      </c>
      <c r="AV6" s="26" t="s">
        <v>25</v>
      </c>
      <c r="AW6" s="31" t="s">
        <v>25</v>
      </c>
    </row>
    <row r="7" spans="1:49" x14ac:dyDescent="0.25">
      <c r="A7" s="8" t="s">
        <v>26</v>
      </c>
      <c r="B7" s="26" t="s">
        <v>26</v>
      </c>
      <c r="C7" s="42" t="s">
        <v>26</v>
      </c>
      <c r="D7" s="26" t="s">
        <v>26</v>
      </c>
      <c r="E7" s="26" t="s">
        <v>26</v>
      </c>
      <c r="F7" s="26" t="s">
        <v>26</v>
      </c>
      <c r="G7" s="26" t="s">
        <v>26</v>
      </c>
      <c r="H7" s="26" t="s">
        <v>26</v>
      </c>
      <c r="I7" s="26" t="s">
        <v>26</v>
      </c>
      <c r="J7" s="26" t="s">
        <v>26</v>
      </c>
      <c r="K7" s="26" t="s">
        <v>26</v>
      </c>
      <c r="L7" s="26" t="s">
        <v>3</v>
      </c>
      <c r="M7" s="26" t="s">
        <v>3</v>
      </c>
      <c r="N7" s="26" t="s">
        <v>26</v>
      </c>
      <c r="O7" s="26" t="s">
        <v>26</v>
      </c>
      <c r="P7" s="26" t="s">
        <v>26</v>
      </c>
      <c r="Q7" s="26" t="s">
        <v>26</v>
      </c>
      <c r="R7" s="26" t="s">
        <v>26</v>
      </c>
      <c r="S7" s="26" t="s">
        <v>26</v>
      </c>
      <c r="T7" s="26" t="s">
        <v>26</v>
      </c>
      <c r="U7" s="26" t="s">
        <v>26</v>
      </c>
      <c r="V7" s="26" t="s">
        <v>26</v>
      </c>
      <c r="W7" s="26" t="s">
        <v>26</v>
      </c>
      <c r="X7" s="26" t="s">
        <v>3</v>
      </c>
      <c r="Y7" s="26" t="s">
        <v>3</v>
      </c>
      <c r="Z7" s="26" t="s">
        <v>3</v>
      </c>
      <c r="AA7" s="26" t="s">
        <v>26</v>
      </c>
      <c r="AB7" s="26" t="s">
        <v>26</v>
      </c>
      <c r="AC7" s="26" t="s">
        <v>26</v>
      </c>
      <c r="AD7" s="26" t="s">
        <v>26</v>
      </c>
      <c r="AE7" s="26" t="s">
        <v>26</v>
      </c>
      <c r="AF7" s="26" t="s">
        <v>26</v>
      </c>
      <c r="AG7" s="26" t="s">
        <v>26</v>
      </c>
      <c r="AH7" s="26" t="s">
        <v>26</v>
      </c>
      <c r="AI7" s="26" t="s">
        <v>26</v>
      </c>
      <c r="AJ7" s="26" t="s">
        <v>3</v>
      </c>
      <c r="AK7" s="26" t="s">
        <v>3</v>
      </c>
      <c r="AL7" s="26" t="s">
        <v>3</v>
      </c>
      <c r="AM7" s="26" t="s">
        <v>26</v>
      </c>
      <c r="AN7" s="26" t="s">
        <v>26</v>
      </c>
      <c r="AO7" s="26" t="s">
        <v>26</v>
      </c>
      <c r="AP7" s="26" t="s">
        <v>26</v>
      </c>
      <c r="AQ7" s="26" t="s">
        <v>26</v>
      </c>
      <c r="AR7" s="26" t="s">
        <v>26</v>
      </c>
      <c r="AS7" s="26" t="s">
        <v>3</v>
      </c>
      <c r="AT7" s="26" t="s">
        <v>26</v>
      </c>
      <c r="AU7" s="26" t="s">
        <v>26</v>
      </c>
      <c r="AV7" s="26" t="s">
        <v>26</v>
      </c>
      <c r="AW7" s="31" t="s">
        <v>26</v>
      </c>
    </row>
    <row r="8" spans="1:49" ht="15.75" thickBot="1" x14ac:dyDescent="0.3">
      <c r="A8" s="9" t="s">
        <v>27</v>
      </c>
      <c r="B8" s="33"/>
      <c r="C8" s="43"/>
      <c r="D8" s="33"/>
      <c r="E8" s="33"/>
      <c r="F8" s="33"/>
      <c r="G8" s="33"/>
      <c r="H8" s="33"/>
      <c r="I8" s="33"/>
      <c r="J8" s="33"/>
      <c r="K8" s="33"/>
      <c r="L8" s="33"/>
      <c r="M8" s="33"/>
      <c r="N8" s="33"/>
      <c r="O8" s="33"/>
      <c r="P8" s="33"/>
      <c r="Q8" s="33"/>
      <c r="R8" s="33"/>
      <c r="S8" s="33"/>
      <c r="T8" s="33"/>
      <c r="U8" s="33"/>
      <c r="V8" s="33"/>
      <c r="W8" s="33"/>
      <c r="X8" s="33"/>
      <c r="Y8" s="33"/>
      <c r="Z8" s="33"/>
      <c r="AA8" s="33"/>
      <c r="AB8" s="33"/>
      <c r="AC8" s="33"/>
      <c r="AD8" s="33"/>
      <c r="AE8" s="33"/>
      <c r="AF8" s="33"/>
      <c r="AG8" s="33"/>
      <c r="AH8" s="33"/>
      <c r="AI8" s="33"/>
      <c r="AJ8" s="33"/>
      <c r="AK8" s="33"/>
      <c r="AL8" s="33"/>
      <c r="AM8" s="33"/>
      <c r="AN8" s="33"/>
      <c r="AO8" s="33"/>
      <c r="AP8" s="33"/>
      <c r="AQ8" s="33"/>
      <c r="AR8" s="33"/>
      <c r="AS8" s="33"/>
      <c r="AT8" s="33"/>
      <c r="AU8" s="33"/>
      <c r="AV8" s="33"/>
      <c r="AW8" s="34"/>
    </row>
    <row r="9" spans="1:49" ht="15.75" thickBot="1" x14ac:dyDescent="0.3">
      <c r="A9" s="37" t="s">
        <v>17</v>
      </c>
      <c r="B9" s="24">
        <f>SUM(COUNTIF(B3:B8,"=AL*"))</f>
        <v>5</v>
      </c>
      <c r="C9" s="24">
        <f t="shared" ref="C9:AW9" si="0">SUM(COUNTIF(C3:C8,"=AL*"))</f>
        <v>5</v>
      </c>
      <c r="D9" s="24">
        <f t="shared" si="0"/>
        <v>5</v>
      </c>
      <c r="E9" s="24">
        <f t="shared" si="0"/>
        <v>5</v>
      </c>
      <c r="F9" s="24">
        <f t="shared" si="0"/>
        <v>5</v>
      </c>
      <c r="G9" s="24">
        <f t="shared" si="0"/>
        <v>5</v>
      </c>
      <c r="H9" s="24">
        <f t="shared" si="0"/>
        <v>3</v>
      </c>
      <c r="I9" s="24">
        <f t="shared" si="0"/>
        <v>3</v>
      </c>
      <c r="J9" s="24">
        <f t="shared" si="0"/>
        <v>3</v>
      </c>
      <c r="K9" s="24">
        <f t="shared" si="0"/>
        <v>3</v>
      </c>
      <c r="L9" s="24">
        <f t="shared" si="0"/>
        <v>4</v>
      </c>
      <c r="M9" s="24">
        <f t="shared" si="0"/>
        <v>4</v>
      </c>
      <c r="N9" s="24">
        <f t="shared" si="0"/>
        <v>5</v>
      </c>
      <c r="O9" s="24">
        <f t="shared" si="0"/>
        <v>5</v>
      </c>
      <c r="P9" s="24">
        <f t="shared" si="0"/>
        <v>5</v>
      </c>
      <c r="Q9" s="24">
        <f t="shared" si="0"/>
        <v>5</v>
      </c>
      <c r="R9" s="24">
        <f t="shared" si="0"/>
        <v>3</v>
      </c>
      <c r="S9" s="24">
        <f t="shared" si="0"/>
        <v>3</v>
      </c>
      <c r="T9" s="24">
        <f t="shared" si="0"/>
        <v>3</v>
      </c>
      <c r="U9" s="24">
        <f t="shared" si="0"/>
        <v>3</v>
      </c>
      <c r="V9" s="24">
        <f t="shared" si="0"/>
        <v>3</v>
      </c>
      <c r="W9" s="24">
        <f t="shared" si="0"/>
        <v>3</v>
      </c>
      <c r="X9" s="24">
        <f t="shared" si="0"/>
        <v>4</v>
      </c>
      <c r="Y9" s="24">
        <f t="shared" si="0"/>
        <v>4</v>
      </c>
      <c r="Z9" s="24">
        <f t="shared" si="0"/>
        <v>4</v>
      </c>
      <c r="AA9" s="24">
        <f t="shared" si="0"/>
        <v>5</v>
      </c>
      <c r="AB9" s="24">
        <f t="shared" si="0"/>
        <v>5</v>
      </c>
      <c r="AC9" s="24">
        <f t="shared" si="0"/>
        <v>5</v>
      </c>
      <c r="AD9" s="24">
        <f t="shared" si="0"/>
        <v>3</v>
      </c>
      <c r="AE9" s="24">
        <f t="shared" si="0"/>
        <v>3</v>
      </c>
      <c r="AF9" s="24">
        <f t="shared" si="0"/>
        <v>3</v>
      </c>
      <c r="AG9" s="24">
        <f t="shared" si="0"/>
        <v>3</v>
      </c>
      <c r="AH9" s="24">
        <f t="shared" si="0"/>
        <v>3</v>
      </c>
      <c r="AI9" s="24">
        <f t="shared" si="0"/>
        <v>3</v>
      </c>
      <c r="AJ9" s="24">
        <f t="shared" si="0"/>
        <v>4</v>
      </c>
      <c r="AK9" s="24">
        <f t="shared" si="0"/>
        <v>4</v>
      </c>
      <c r="AL9" s="24">
        <f t="shared" si="0"/>
        <v>4</v>
      </c>
      <c r="AM9" s="24">
        <f t="shared" si="0"/>
        <v>5</v>
      </c>
      <c r="AN9" s="24">
        <f t="shared" si="0"/>
        <v>5</v>
      </c>
      <c r="AO9" s="24">
        <f t="shared" si="0"/>
        <v>5</v>
      </c>
      <c r="AP9" s="24">
        <f t="shared" si="0"/>
        <v>5</v>
      </c>
      <c r="AQ9" s="24">
        <f t="shared" si="0"/>
        <v>3</v>
      </c>
      <c r="AR9" s="24">
        <f t="shared" si="0"/>
        <v>3</v>
      </c>
      <c r="AS9" s="24">
        <f t="shared" si="0"/>
        <v>4</v>
      </c>
      <c r="AT9" s="24">
        <f t="shared" si="0"/>
        <v>5</v>
      </c>
      <c r="AU9" s="24">
        <f t="shared" si="0"/>
        <v>5</v>
      </c>
      <c r="AV9" s="24">
        <f t="shared" si="0"/>
        <v>5</v>
      </c>
      <c r="AW9" s="25">
        <f t="shared" si="0"/>
        <v>5</v>
      </c>
    </row>
    <row r="10" spans="1:49" ht="15.75" thickBot="1" x14ac:dyDescent="0.3">
      <c r="A10" s="35" t="s">
        <v>18</v>
      </c>
      <c r="B10" s="24">
        <f>SUM(COUNTIF(B3:B8,"=Acar*"))</f>
        <v>0</v>
      </c>
      <c r="C10" s="24">
        <f t="shared" ref="C10:AW10" si="1">SUM(COUNTIF(C3:C8,"=Acar*"))</f>
        <v>0</v>
      </c>
      <c r="D10" s="24">
        <f t="shared" si="1"/>
        <v>0</v>
      </c>
      <c r="E10" s="24">
        <f t="shared" si="1"/>
        <v>0</v>
      </c>
      <c r="F10" s="24">
        <f t="shared" si="1"/>
        <v>0</v>
      </c>
      <c r="G10" s="24">
        <f t="shared" si="1"/>
        <v>0</v>
      </c>
      <c r="H10" s="24">
        <f t="shared" si="1"/>
        <v>0</v>
      </c>
      <c r="I10" s="24">
        <f t="shared" si="1"/>
        <v>0</v>
      </c>
      <c r="J10" s="24">
        <f t="shared" si="1"/>
        <v>0</v>
      </c>
      <c r="K10" s="24">
        <f t="shared" si="1"/>
        <v>0</v>
      </c>
      <c r="L10" s="24">
        <f t="shared" si="1"/>
        <v>0</v>
      </c>
      <c r="M10" s="24">
        <f t="shared" si="1"/>
        <v>0</v>
      </c>
      <c r="N10" s="24">
        <f t="shared" si="1"/>
        <v>0</v>
      </c>
      <c r="O10" s="24">
        <f t="shared" si="1"/>
        <v>0</v>
      </c>
      <c r="P10" s="24">
        <f t="shared" si="1"/>
        <v>0</v>
      </c>
      <c r="Q10" s="24">
        <f t="shared" si="1"/>
        <v>0</v>
      </c>
      <c r="R10" s="24">
        <f t="shared" si="1"/>
        <v>0</v>
      </c>
      <c r="S10" s="24">
        <f t="shared" si="1"/>
        <v>0</v>
      </c>
      <c r="T10" s="24">
        <f t="shared" si="1"/>
        <v>0</v>
      </c>
      <c r="U10" s="24">
        <f t="shared" si="1"/>
        <v>0</v>
      </c>
      <c r="V10" s="24">
        <f t="shared" si="1"/>
        <v>0</v>
      </c>
      <c r="W10" s="24">
        <f t="shared" si="1"/>
        <v>0</v>
      </c>
      <c r="X10" s="24">
        <f t="shared" si="1"/>
        <v>0</v>
      </c>
      <c r="Y10" s="24">
        <f t="shared" si="1"/>
        <v>0</v>
      </c>
      <c r="Z10" s="24">
        <f t="shared" si="1"/>
        <v>0</v>
      </c>
      <c r="AA10" s="24">
        <f t="shared" si="1"/>
        <v>0</v>
      </c>
      <c r="AB10" s="24">
        <f t="shared" si="1"/>
        <v>0</v>
      </c>
      <c r="AC10" s="24">
        <f t="shared" si="1"/>
        <v>0</v>
      </c>
      <c r="AD10" s="24">
        <f t="shared" si="1"/>
        <v>0</v>
      </c>
      <c r="AE10" s="24">
        <f t="shared" si="1"/>
        <v>0</v>
      </c>
      <c r="AF10" s="24">
        <f t="shared" si="1"/>
        <v>0</v>
      </c>
      <c r="AG10" s="24">
        <f t="shared" si="1"/>
        <v>0</v>
      </c>
      <c r="AH10" s="24">
        <f t="shared" si="1"/>
        <v>0</v>
      </c>
      <c r="AI10" s="24">
        <f t="shared" si="1"/>
        <v>0</v>
      </c>
      <c r="AJ10" s="24">
        <f t="shared" si="1"/>
        <v>0</v>
      </c>
      <c r="AK10" s="24">
        <f t="shared" si="1"/>
        <v>0</v>
      </c>
      <c r="AL10" s="24">
        <f t="shared" si="1"/>
        <v>0</v>
      </c>
      <c r="AM10" s="24">
        <f t="shared" si="1"/>
        <v>0</v>
      </c>
      <c r="AN10" s="24">
        <f t="shared" si="1"/>
        <v>0</v>
      </c>
      <c r="AO10" s="24">
        <f t="shared" si="1"/>
        <v>0</v>
      </c>
      <c r="AP10" s="24">
        <f t="shared" si="1"/>
        <v>0</v>
      </c>
      <c r="AQ10" s="24">
        <f t="shared" si="1"/>
        <v>0</v>
      </c>
      <c r="AR10" s="24">
        <f t="shared" si="1"/>
        <v>0</v>
      </c>
      <c r="AS10" s="24">
        <f t="shared" si="1"/>
        <v>0</v>
      </c>
      <c r="AT10" s="24">
        <f t="shared" si="1"/>
        <v>0</v>
      </c>
      <c r="AU10" s="24">
        <f t="shared" si="1"/>
        <v>0</v>
      </c>
      <c r="AV10" s="24">
        <f t="shared" si="1"/>
        <v>0</v>
      </c>
      <c r="AW10" s="25">
        <f t="shared" si="1"/>
        <v>0</v>
      </c>
    </row>
    <row r="11" spans="1:49" ht="15.75" thickBot="1" x14ac:dyDescent="0.3">
      <c r="A11" s="35" t="s">
        <v>2</v>
      </c>
      <c r="B11" s="22" t="str">
        <f>IF(B10=0, CONCATENATE(B9), CONCATENATE(B9, ",",B10))</f>
        <v>5</v>
      </c>
      <c r="C11" s="22" t="str">
        <f t="shared" ref="C11:AW11" si="2">IF(C10=0, CONCATENATE(C9), CONCATENATE(C9, ",",C10))</f>
        <v>5</v>
      </c>
      <c r="D11" s="22" t="str">
        <f t="shared" si="2"/>
        <v>5</v>
      </c>
      <c r="E11" s="22" t="str">
        <f t="shared" si="2"/>
        <v>5</v>
      </c>
      <c r="F11" s="22" t="str">
        <f t="shared" si="2"/>
        <v>5</v>
      </c>
      <c r="G11" s="22" t="str">
        <f t="shared" si="2"/>
        <v>5</v>
      </c>
      <c r="H11" s="22" t="str">
        <f t="shared" si="2"/>
        <v>3</v>
      </c>
      <c r="I11" s="22" t="str">
        <f t="shared" si="2"/>
        <v>3</v>
      </c>
      <c r="J11" s="22" t="str">
        <f t="shared" si="2"/>
        <v>3</v>
      </c>
      <c r="K11" s="22" t="str">
        <f t="shared" si="2"/>
        <v>3</v>
      </c>
      <c r="L11" s="22" t="str">
        <f t="shared" si="2"/>
        <v>4</v>
      </c>
      <c r="M11" s="22" t="str">
        <f t="shared" si="2"/>
        <v>4</v>
      </c>
      <c r="N11" s="22" t="str">
        <f t="shared" si="2"/>
        <v>5</v>
      </c>
      <c r="O11" s="22" t="str">
        <f t="shared" si="2"/>
        <v>5</v>
      </c>
      <c r="P11" s="22" t="str">
        <f t="shared" si="2"/>
        <v>5</v>
      </c>
      <c r="Q11" s="22" t="str">
        <f t="shared" si="2"/>
        <v>5</v>
      </c>
      <c r="R11" s="22" t="str">
        <f t="shared" si="2"/>
        <v>3</v>
      </c>
      <c r="S11" s="22" t="str">
        <f t="shared" si="2"/>
        <v>3</v>
      </c>
      <c r="T11" s="22" t="str">
        <f t="shared" si="2"/>
        <v>3</v>
      </c>
      <c r="U11" s="22" t="str">
        <f t="shared" si="2"/>
        <v>3</v>
      </c>
      <c r="V11" s="22" t="str">
        <f t="shared" si="2"/>
        <v>3</v>
      </c>
      <c r="W11" s="22" t="str">
        <f t="shared" si="2"/>
        <v>3</v>
      </c>
      <c r="X11" s="22" t="str">
        <f t="shared" si="2"/>
        <v>4</v>
      </c>
      <c r="Y11" s="22" t="str">
        <f t="shared" si="2"/>
        <v>4</v>
      </c>
      <c r="Z11" s="22" t="str">
        <f t="shared" si="2"/>
        <v>4</v>
      </c>
      <c r="AA11" s="22" t="str">
        <f t="shared" si="2"/>
        <v>5</v>
      </c>
      <c r="AB11" s="22" t="str">
        <f t="shared" si="2"/>
        <v>5</v>
      </c>
      <c r="AC11" s="22" t="str">
        <f t="shared" si="2"/>
        <v>5</v>
      </c>
      <c r="AD11" s="22" t="str">
        <f t="shared" si="2"/>
        <v>3</v>
      </c>
      <c r="AE11" s="22" t="str">
        <f t="shared" si="2"/>
        <v>3</v>
      </c>
      <c r="AF11" s="22" t="str">
        <f t="shared" si="2"/>
        <v>3</v>
      </c>
      <c r="AG11" s="22" t="str">
        <f t="shared" si="2"/>
        <v>3</v>
      </c>
      <c r="AH11" s="22" t="str">
        <f t="shared" si="2"/>
        <v>3</v>
      </c>
      <c r="AI11" s="22" t="str">
        <f t="shared" si="2"/>
        <v>3</v>
      </c>
      <c r="AJ11" s="22" t="str">
        <f t="shared" si="2"/>
        <v>4</v>
      </c>
      <c r="AK11" s="22" t="str">
        <f t="shared" si="2"/>
        <v>4</v>
      </c>
      <c r="AL11" s="22" t="str">
        <f t="shared" si="2"/>
        <v>4</v>
      </c>
      <c r="AM11" s="22" t="str">
        <f t="shared" si="2"/>
        <v>5</v>
      </c>
      <c r="AN11" s="22" t="str">
        <f t="shared" si="2"/>
        <v>5</v>
      </c>
      <c r="AO11" s="22" t="str">
        <f t="shared" si="2"/>
        <v>5</v>
      </c>
      <c r="AP11" s="22" t="str">
        <f t="shared" si="2"/>
        <v>5</v>
      </c>
      <c r="AQ11" s="22" t="str">
        <f t="shared" si="2"/>
        <v>3</v>
      </c>
      <c r="AR11" s="22" t="str">
        <f t="shared" si="2"/>
        <v>3</v>
      </c>
      <c r="AS11" s="22" t="str">
        <f t="shared" si="2"/>
        <v>4</v>
      </c>
      <c r="AT11" s="22" t="str">
        <f t="shared" si="2"/>
        <v>5</v>
      </c>
      <c r="AU11" s="22" t="str">
        <f t="shared" si="2"/>
        <v>5</v>
      </c>
      <c r="AV11" s="22" t="str">
        <f t="shared" si="2"/>
        <v>5</v>
      </c>
      <c r="AW11" s="23" t="str">
        <f t="shared" si="2"/>
        <v>5</v>
      </c>
    </row>
    <row r="12" spans="1:49" ht="15.75" thickBot="1" x14ac:dyDescent="0.3">
      <c r="A12" s="44" t="s">
        <v>4</v>
      </c>
      <c r="B12" s="45"/>
      <c r="C12" s="45"/>
      <c r="D12" s="45"/>
      <c r="E12" s="45"/>
      <c r="F12" s="45"/>
      <c r="G12" s="45"/>
      <c r="H12" s="45"/>
      <c r="I12" s="45"/>
      <c r="J12" s="45"/>
      <c r="K12" s="45"/>
      <c r="L12" s="45"/>
      <c r="M12" s="45"/>
      <c r="N12" s="45"/>
      <c r="O12" s="45"/>
      <c r="P12" s="45"/>
      <c r="Q12" s="45"/>
      <c r="R12" s="45"/>
      <c r="S12" s="45"/>
      <c r="T12" s="45"/>
      <c r="U12" s="45"/>
      <c r="V12" s="45"/>
      <c r="W12" s="45"/>
      <c r="X12" s="45"/>
      <c r="Y12" s="45"/>
      <c r="Z12" s="45"/>
      <c r="AA12" s="45"/>
      <c r="AB12" s="45"/>
      <c r="AC12" s="45"/>
      <c r="AD12" s="45"/>
      <c r="AE12" s="45"/>
      <c r="AF12" s="45"/>
      <c r="AG12" s="45"/>
      <c r="AH12" s="45"/>
      <c r="AI12" s="45"/>
      <c r="AJ12" s="45"/>
      <c r="AK12" s="45"/>
      <c r="AL12" s="45"/>
      <c r="AM12" s="45"/>
      <c r="AN12" s="45"/>
      <c r="AO12" s="45"/>
      <c r="AP12" s="45"/>
      <c r="AQ12" s="45"/>
      <c r="AR12" s="45"/>
      <c r="AS12" s="45"/>
      <c r="AT12" s="45"/>
      <c r="AU12" s="45"/>
      <c r="AV12" s="45"/>
      <c r="AW12" s="46"/>
    </row>
    <row r="13" spans="1:49" ht="15.75" thickBot="1" x14ac:dyDescent="0.3">
      <c r="A13" s="7" t="s">
        <v>6</v>
      </c>
      <c r="B13" s="28"/>
      <c r="C13" s="41"/>
      <c r="D13" s="28"/>
      <c r="E13" s="28"/>
      <c r="F13" s="28"/>
      <c r="G13" s="28"/>
      <c r="H13" s="28" t="s">
        <v>22</v>
      </c>
      <c r="I13" s="28" t="s">
        <v>22</v>
      </c>
      <c r="J13" s="28" t="s">
        <v>24</v>
      </c>
      <c r="K13" s="28" t="s">
        <v>24</v>
      </c>
      <c r="L13" s="28" t="s">
        <v>26</v>
      </c>
      <c r="M13" s="28" t="s">
        <v>26</v>
      </c>
      <c r="N13" s="28"/>
      <c r="O13" s="28"/>
      <c r="P13" s="28"/>
      <c r="Q13" s="28"/>
      <c r="R13" s="28" t="s">
        <v>22</v>
      </c>
      <c r="S13" s="28" t="s">
        <v>22</v>
      </c>
      <c r="T13" s="28" t="s">
        <v>22</v>
      </c>
      <c r="U13" s="28" t="s">
        <v>24</v>
      </c>
      <c r="V13" s="28" t="s">
        <v>24</v>
      </c>
      <c r="W13" s="28" t="s">
        <v>24</v>
      </c>
      <c r="X13" s="28" t="s">
        <v>26</v>
      </c>
      <c r="Y13" s="28" t="s">
        <v>26</v>
      </c>
      <c r="Z13" s="28" t="s">
        <v>26</v>
      </c>
      <c r="AA13" s="28"/>
      <c r="AB13" s="28"/>
      <c r="AC13" s="28"/>
      <c r="AD13" s="28" t="s">
        <v>22</v>
      </c>
      <c r="AE13" s="28" t="s">
        <v>22</v>
      </c>
      <c r="AF13" s="28" t="s">
        <v>22</v>
      </c>
      <c r="AG13" s="28" t="s">
        <v>24</v>
      </c>
      <c r="AH13" s="28" t="s">
        <v>24</v>
      </c>
      <c r="AI13" s="28" t="s">
        <v>24</v>
      </c>
      <c r="AJ13" s="28" t="s">
        <v>26</v>
      </c>
      <c r="AK13" s="28" t="s">
        <v>26</v>
      </c>
      <c r="AL13" s="28" t="s">
        <v>26</v>
      </c>
      <c r="AM13" s="28"/>
      <c r="AN13" s="28"/>
      <c r="AO13" s="28"/>
      <c r="AP13" s="28"/>
      <c r="AQ13" s="28" t="s">
        <v>22</v>
      </c>
      <c r="AR13" s="28" t="s">
        <v>24</v>
      </c>
      <c r="AS13" s="28" t="s">
        <v>26</v>
      </c>
      <c r="AT13" s="28"/>
      <c r="AU13" s="28"/>
      <c r="AV13" s="28"/>
      <c r="AW13" s="29"/>
    </row>
    <row r="14" spans="1:49" x14ac:dyDescent="0.25">
      <c r="A14" s="7" t="s">
        <v>6</v>
      </c>
      <c r="B14" s="26"/>
      <c r="C14" s="42"/>
      <c r="D14" s="26"/>
      <c r="E14" s="26"/>
      <c r="F14" s="26"/>
      <c r="G14" s="26"/>
      <c r="H14" s="26" t="s">
        <v>23</v>
      </c>
      <c r="I14" s="26" t="s">
        <v>23</v>
      </c>
      <c r="J14" s="26" t="s">
        <v>25</v>
      </c>
      <c r="K14" s="26" t="s">
        <v>25</v>
      </c>
      <c r="L14" s="26"/>
      <c r="M14" s="26"/>
      <c r="N14" s="26"/>
      <c r="O14" s="26"/>
      <c r="P14" s="26"/>
      <c r="Q14" s="26"/>
      <c r="R14" s="26" t="s">
        <v>23</v>
      </c>
      <c r="S14" s="26" t="s">
        <v>23</v>
      </c>
      <c r="T14" s="26" t="s">
        <v>23</v>
      </c>
      <c r="U14" s="26" t="s">
        <v>25</v>
      </c>
      <c r="V14" s="26" t="s">
        <v>25</v>
      </c>
      <c r="W14" s="26" t="s">
        <v>25</v>
      </c>
      <c r="X14" s="26"/>
      <c r="Y14" s="26"/>
      <c r="Z14" s="26"/>
      <c r="AA14" s="26"/>
      <c r="AB14" s="26"/>
      <c r="AC14" s="26"/>
      <c r="AD14" s="26" t="s">
        <v>23</v>
      </c>
      <c r="AE14" s="26" t="s">
        <v>23</v>
      </c>
      <c r="AF14" s="26" t="s">
        <v>23</v>
      </c>
      <c r="AG14" s="26" t="s">
        <v>25</v>
      </c>
      <c r="AH14" s="26" t="s">
        <v>25</v>
      </c>
      <c r="AI14" s="26" t="s">
        <v>25</v>
      </c>
      <c r="AJ14" s="26"/>
      <c r="AK14" s="26"/>
      <c r="AL14" s="26"/>
      <c r="AM14" s="26"/>
      <c r="AN14" s="26"/>
      <c r="AO14" s="26"/>
      <c r="AP14" s="26"/>
      <c r="AQ14" s="26" t="s">
        <v>23</v>
      </c>
      <c r="AR14" s="26" t="s">
        <v>25</v>
      </c>
      <c r="AS14" s="26"/>
      <c r="AT14" s="26"/>
      <c r="AU14" s="26"/>
      <c r="AV14" s="26"/>
      <c r="AW14" s="31"/>
    </row>
    <row r="15" spans="1:49" x14ac:dyDescent="0.25">
      <c r="A15" s="8"/>
      <c r="B15" s="26"/>
      <c r="C15" s="42"/>
      <c r="D15" s="26"/>
      <c r="E15" s="26"/>
      <c r="F15" s="26"/>
      <c r="G15" s="26"/>
      <c r="H15" s="26"/>
      <c r="I15" s="26"/>
      <c r="J15" s="26"/>
      <c r="K15" s="26"/>
      <c r="L15" s="26"/>
      <c r="M15" s="26"/>
      <c r="N15" s="26"/>
      <c r="O15" s="26"/>
      <c r="P15" s="26"/>
      <c r="Q15" s="26"/>
      <c r="R15" s="26"/>
      <c r="S15" s="26"/>
      <c r="T15" s="26"/>
      <c r="U15" s="26"/>
      <c r="V15" s="26"/>
      <c r="W15" s="26"/>
      <c r="X15" s="26"/>
      <c r="Y15" s="26"/>
      <c r="Z15" s="26"/>
      <c r="AA15" s="26"/>
      <c r="AB15" s="26"/>
      <c r="AC15" s="26"/>
      <c r="AD15" s="26"/>
      <c r="AE15" s="26"/>
      <c r="AF15" s="26"/>
      <c r="AG15" s="26"/>
      <c r="AH15" s="26"/>
      <c r="AI15" s="26"/>
      <c r="AJ15" s="26"/>
      <c r="AK15" s="26"/>
      <c r="AL15" s="26"/>
      <c r="AM15" s="26"/>
      <c r="AN15" s="26"/>
      <c r="AO15" s="26"/>
      <c r="AP15" s="26"/>
      <c r="AQ15" s="26"/>
      <c r="AR15" s="26"/>
      <c r="AS15" s="26"/>
      <c r="AT15" s="26"/>
      <c r="AU15" s="26"/>
      <c r="AV15" s="26"/>
      <c r="AW15" s="31"/>
    </row>
    <row r="16" spans="1:49" x14ac:dyDescent="0.25">
      <c r="A16" s="8"/>
      <c r="B16" s="26"/>
      <c r="C16" s="42"/>
      <c r="D16" s="26"/>
      <c r="E16" s="26"/>
      <c r="F16" s="26"/>
      <c r="G16" s="26"/>
      <c r="H16" s="26"/>
      <c r="I16" s="26"/>
      <c r="J16" s="26"/>
      <c r="K16" s="26"/>
      <c r="L16" s="26"/>
      <c r="M16" s="26"/>
      <c r="N16" s="26"/>
      <c r="O16" s="26"/>
      <c r="P16" s="26"/>
      <c r="Q16" s="26"/>
      <c r="R16" s="26"/>
      <c r="S16" s="26"/>
      <c r="T16" s="26"/>
      <c r="U16" s="26"/>
      <c r="V16" s="26"/>
      <c r="W16" s="26"/>
      <c r="X16" s="26"/>
      <c r="Y16" s="26"/>
      <c r="Z16" s="26"/>
      <c r="AA16" s="26"/>
      <c r="AB16" s="26"/>
      <c r="AC16" s="26"/>
      <c r="AD16" s="26"/>
      <c r="AE16" s="26"/>
      <c r="AF16" s="26"/>
      <c r="AG16" s="26"/>
      <c r="AH16" s="26"/>
      <c r="AI16" s="26"/>
      <c r="AJ16" s="26"/>
      <c r="AK16" s="26"/>
      <c r="AL16" s="26"/>
      <c r="AM16" s="26"/>
      <c r="AN16" s="26"/>
      <c r="AO16" s="26"/>
      <c r="AP16" s="26"/>
      <c r="AQ16" s="26"/>
      <c r="AR16" s="26"/>
      <c r="AS16" s="26"/>
      <c r="AT16" s="26"/>
      <c r="AU16" s="26"/>
      <c r="AV16" s="26"/>
      <c r="AW16" s="31"/>
    </row>
    <row r="17" spans="1:49" x14ac:dyDescent="0.25">
      <c r="A17" s="8"/>
      <c r="B17" s="26"/>
      <c r="C17" s="42"/>
      <c r="D17" s="26"/>
      <c r="E17" s="26"/>
      <c r="F17" s="26"/>
      <c r="G17" s="26"/>
      <c r="H17" s="26"/>
      <c r="I17" s="26"/>
      <c r="J17" s="26"/>
      <c r="K17" s="26"/>
      <c r="L17" s="26"/>
      <c r="M17" s="26"/>
      <c r="N17" s="26"/>
      <c r="O17" s="26"/>
      <c r="P17" s="26"/>
      <c r="Q17" s="26"/>
      <c r="R17" s="26"/>
      <c r="S17" s="26"/>
      <c r="T17" s="26"/>
      <c r="U17" s="26"/>
      <c r="V17" s="26"/>
      <c r="W17" s="26"/>
      <c r="X17" s="26"/>
      <c r="Y17" s="26"/>
      <c r="Z17" s="26"/>
      <c r="AA17" s="26"/>
      <c r="AB17" s="26"/>
      <c r="AC17" s="26"/>
      <c r="AD17" s="26"/>
      <c r="AE17" s="26"/>
      <c r="AF17" s="26"/>
      <c r="AG17" s="26"/>
      <c r="AH17" s="26"/>
      <c r="AI17" s="26"/>
      <c r="AJ17" s="26"/>
      <c r="AK17" s="26"/>
      <c r="AL17" s="26"/>
      <c r="AM17" s="26"/>
      <c r="AN17" s="26"/>
      <c r="AO17" s="26"/>
      <c r="AP17" s="26"/>
      <c r="AQ17" s="26"/>
      <c r="AR17" s="26"/>
      <c r="AS17" s="26"/>
      <c r="AT17" s="26"/>
      <c r="AU17" s="26"/>
      <c r="AV17" s="26"/>
      <c r="AW17" s="31"/>
    </row>
    <row r="18" spans="1:49" ht="15.75" thickBot="1" x14ac:dyDescent="0.3">
      <c r="A18" s="9"/>
      <c r="B18" s="33"/>
      <c r="C18" s="43"/>
      <c r="D18" s="33"/>
      <c r="E18" s="33"/>
      <c r="F18" s="33"/>
      <c r="G18" s="33"/>
      <c r="H18" s="33"/>
      <c r="I18" s="33"/>
      <c r="J18" s="33"/>
      <c r="K18" s="33"/>
      <c r="L18" s="33"/>
      <c r="M18" s="33"/>
      <c r="N18" s="33"/>
      <c r="O18" s="33"/>
      <c r="P18" s="33"/>
      <c r="Q18" s="33"/>
      <c r="R18" s="33"/>
      <c r="S18" s="33"/>
      <c r="T18" s="33"/>
      <c r="U18" s="33"/>
      <c r="V18" s="33"/>
      <c r="W18" s="33"/>
      <c r="X18" s="33"/>
      <c r="Y18" s="33"/>
      <c r="Z18" s="33"/>
      <c r="AA18" s="33"/>
      <c r="AB18" s="33"/>
      <c r="AC18" s="33"/>
      <c r="AD18" s="33"/>
      <c r="AE18" s="33"/>
      <c r="AF18" s="33"/>
      <c r="AG18" s="33"/>
      <c r="AH18" s="33"/>
      <c r="AI18" s="33"/>
      <c r="AJ18" s="33"/>
      <c r="AK18" s="33"/>
      <c r="AL18" s="33"/>
      <c r="AM18" s="33"/>
      <c r="AN18" s="33"/>
      <c r="AO18" s="33"/>
      <c r="AP18" s="33"/>
      <c r="AQ18" s="33"/>
      <c r="AR18" s="33"/>
      <c r="AS18" s="33"/>
      <c r="AT18" s="33"/>
      <c r="AU18" s="33"/>
      <c r="AV18" s="33"/>
      <c r="AW18" s="34"/>
    </row>
    <row r="19" spans="1:49" ht="15.75" thickBot="1" x14ac:dyDescent="0.3">
      <c r="A19" s="37" t="s">
        <v>17</v>
      </c>
      <c r="B19" s="24">
        <f>SUM(COUNTIF(B13:B18,"=AL*"))</f>
        <v>0</v>
      </c>
      <c r="C19" s="24">
        <f t="shared" ref="C19:AW19" si="3">SUM(COUNTIF(C13:C18,"=AL*"))</f>
        <v>0</v>
      </c>
      <c r="D19" s="24">
        <f t="shared" si="3"/>
        <v>0</v>
      </c>
      <c r="E19" s="24">
        <f t="shared" si="3"/>
        <v>0</v>
      </c>
      <c r="F19" s="24">
        <f t="shared" si="3"/>
        <v>0</v>
      </c>
      <c r="G19" s="24">
        <f t="shared" si="3"/>
        <v>0</v>
      </c>
      <c r="H19" s="24">
        <f t="shared" si="3"/>
        <v>2</v>
      </c>
      <c r="I19" s="24">
        <f t="shared" si="3"/>
        <v>2</v>
      </c>
      <c r="J19" s="24">
        <f t="shared" si="3"/>
        <v>2</v>
      </c>
      <c r="K19" s="24">
        <f t="shared" si="3"/>
        <v>2</v>
      </c>
      <c r="L19" s="24">
        <f t="shared" si="3"/>
        <v>1</v>
      </c>
      <c r="M19" s="24">
        <f t="shared" si="3"/>
        <v>1</v>
      </c>
      <c r="N19" s="24">
        <f t="shared" si="3"/>
        <v>0</v>
      </c>
      <c r="O19" s="24">
        <f t="shared" si="3"/>
        <v>0</v>
      </c>
      <c r="P19" s="24">
        <f t="shared" si="3"/>
        <v>0</v>
      </c>
      <c r="Q19" s="24">
        <f t="shared" si="3"/>
        <v>0</v>
      </c>
      <c r="R19" s="24">
        <f t="shared" si="3"/>
        <v>2</v>
      </c>
      <c r="S19" s="24">
        <f t="shared" si="3"/>
        <v>2</v>
      </c>
      <c r="T19" s="24">
        <f t="shared" si="3"/>
        <v>2</v>
      </c>
      <c r="U19" s="24">
        <f t="shared" si="3"/>
        <v>2</v>
      </c>
      <c r="V19" s="24">
        <f t="shared" si="3"/>
        <v>2</v>
      </c>
      <c r="W19" s="24">
        <f t="shared" si="3"/>
        <v>2</v>
      </c>
      <c r="X19" s="24">
        <f t="shared" si="3"/>
        <v>1</v>
      </c>
      <c r="Y19" s="24">
        <f t="shared" si="3"/>
        <v>1</v>
      </c>
      <c r="Z19" s="24">
        <f t="shared" si="3"/>
        <v>1</v>
      </c>
      <c r="AA19" s="24">
        <f t="shared" si="3"/>
        <v>0</v>
      </c>
      <c r="AB19" s="24">
        <f t="shared" si="3"/>
        <v>0</v>
      </c>
      <c r="AC19" s="24">
        <f t="shared" si="3"/>
        <v>0</v>
      </c>
      <c r="AD19" s="24">
        <f t="shared" si="3"/>
        <v>2</v>
      </c>
      <c r="AE19" s="24">
        <f t="shared" si="3"/>
        <v>2</v>
      </c>
      <c r="AF19" s="24">
        <f t="shared" si="3"/>
        <v>2</v>
      </c>
      <c r="AG19" s="24">
        <f t="shared" si="3"/>
        <v>2</v>
      </c>
      <c r="AH19" s="24">
        <f t="shared" si="3"/>
        <v>2</v>
      </c>
      <c r="AI19" s="24">
        <f t="shared" si="3"/>
        <v>2</v>
      </c>
      <c r="AJ19" s="24">
        <f t="shared" si="3"/>
        <v>1</v>
      </c>
      <c r="AK19" s="24">
        <f t="shared" si="3"/>
        <v>1</v>
      </c>
      <c r="AL19" s="24">
        <f t="shared" si="3"/>
        <v>1</v>
      </c>
      <c r="AM19" s="24">
        <f t="shared" si="3"/>
        <v>0</v>
      </c>
      <c r="AN19" s="24">
        <f t="shared" si="3"/>
        <v>0</v>
      </c>
      <c r="AO19" s="24">
        <f t="shared" si="3"/>
        <v>0</v>
      </c>
      <c r="AP19" s="24">
        <f t="shared" si="3"/>
        <v>0</v>
      </c>
      <c r="AQ19" s="24">
        <f t="shared" si="3"/>
        <v>2</v>
      </c>
      <c r="AR19" s="24">
        <f t="shared" si="3"/>
        <v>2</v>
      </c>
      <c r="AS19" s="24">
        <f t="shared" si="3"/>
        <v>1</v>
      </c>
      <c r="AT19" s="24">
        <f t="shared" si="3"/>
        <v>0</v>
      </c>
      <c r="AU19" s="24">
        <f t="shared" si="3"/>
        <v>0</v>
      </c>
      <c r="AV19" s="24">
        <f t="shared" si="3"/>
        <v>0</v>
      </c>
      <c r="AW19" s="25">
        <f t="shared" si="3"/>
        <v>0</v>
      </c>
    </row>
    <row r="20" spans="1:49" ht="15.75" thickBot="1" x14ac:dyDescent="0.3">
      <c r="A20" s="35" t="s">
        <v>18</v>
      </c>
      <c r="B20" s="24">
        <f>SUM(COUNTIF(B13:B18,"=Acar*"))</f>
        <v>0</v>
      </c>
      <c r="C20" s="24">
        <f t="shared" ref="C20:AW20" si="4">SUM(COUNTIF(C13:C18,"=Acar*"))</f>
        <v>0</v>
      </c>
      <c r="D20" s="24">
        <f t="shared" si="4"/>
        <v>0</v>
      </c>
      <c r="E20" s="24">
        <f t="shared" si="4"/>
        <v>0</v>
      </c>
      <c r="F20" s="24">
        <f t="shared" si="4"/>
        <v>0</v>
      </c>
      <c r="G20" s="24">
        <f t="shared" si="4"/>
        <v>0</v>
      </c>
      <c r="H20" s="24">
        <f t="shared" si="4"/>
        <v>0</v>
      </c>
      <c r="I20" s="24">
        <f t="shared" si="4"/>
        <v>0</v>
      </c>
      <c r="J20" s="24">
        <f t="shared" si="4"/>
        <v>0</v>
      </c>
      <c r="K20" s="24">
        <f t="shared" si="4"/>
        <v>0</v>
      </c>
      <c r="L20" s="24">
        <f t="shared" si="4"/>
        <v>0</v>
      </c>
      <c r="M20" s="24">
        <f t="shared" si="4"/>
        <v>0</v>
      </c>
      <c r="N20" s="24">
        <f t="shared" si="4"/>
        <v>0</v>
      </c>
      <c r="O20" s="24">
        <f t="shared" si="4"/>
        <v>0</v>
      </c>
      <c r="P20" s="24">
        <f t="shared" si="4"/>
        <v>0</v>
      </c>
      <c r="Q20" s="24">
        <f t="shared" si="4"/>
        <v>0</v>
      </c>
      <c r="R20" s="24">
        <f t="shared" si="4"/>
        <v>0</v>
      </c>
      <c r="S20" s="24">
        <f t="shared" si="4"/>
        <v>0</v>
      </c>
      <c r="T20" s="24">
        <f t="shared" si="4"/>
        <v>0</v>
      </c>
      <c r="U20" s="24">
        <f t="shared" si="4"/>
        <v>0</v>
      </c>
      <c r="V20" s="24">
        <f t="shared" si="4"/>
        <v>0</v>
      </c>
      <c r="W20" s="24">
        <f t="shared" si="4"/>
        <v>0</v>
      </c>
      <c r="X20" s="24">
        <f t="shared" si="4"/>
        <v>0</v>
      </c>
      <c r="Y20" s="24">
        <f t="shared" si="4"/>
        <v>0</v>
      </c>
      <c r="Z20" s="24">
        <f t="shared" si="4"/>
        <v>0</v>
      </c>
      <c r="AA20" s="24">
        <f t="shared" si="4"/>
        <v>0</v>
      </c>
      <c r="AB20" s="24">
        <f t="shared" si="4"/>
        <v>0</v>
      </c>
      <c r="AC20" s="24">
        <f t="shared" si="4"/>
        <v>0</v>
      </c>
      <c r="AD20" s="24">
        <f t="shared" si="4"/>
        <v>0</v>
      </c>
      <c r="AE20" s="24">
        <f t="shared" si="4"/>
        <v>0</v>
      </c>
      <c r="AF20" s="24">
        <f t="shared" si="4"/>
        <v>0</v>
      </c>
      <c r="AG20" s="24">
        <f t="shared" si="4"/>
        <v>0</v>
      </c>
      <c r="AH20" s="24">
        <f t="shared" si="4"/>
        <v>0</v>
      </c>
      <c r="AI20" s="24">
        <f t="shared" si="4"/>
        <v>0</v>
      </c>
      <c r="AJ20" s="24">
        <f t="shared" si="4"/>
        <v>0</v>
      </c>
      <c r="AK20" s="24">
        <f t="shared" si="4"/>
        <v>0</v>
      </c>
      <c r="AL20" s="24">
        <f t="shared" si="4"/>
        <v>0</v>
      </c>
      <c r="AM20" s="24">
        <f t="shared" si="4"/>
        <v>0</v>
      </c>
      <c r="AN20" s="24">
        <f t="shared" si="4"/>
        <v>0</v>
      </c>
      <c r="AO20" s="24">
        <f t="shared" si="4"/>
        <v>0</v>
      </c>
      <c r="AP20" s="24">
        <f t="shared" si="4"/>
        <v>0</v>
      </c>
      <c r="AQ20" s="24">
        <f t="shared" si="4"/>
        <v>0</v>
      </c>
      <c r="AR20" s="24">
        <f t="shared" si="4"/>
        <v>0</v>
      </c>
      <c r="AS20" s="24">
        <f t="shared" si="4"/>
        <v>0</v>
      </c>
      <c r="AT20" s="24">
        <f t="shared" si="4"/>
        <v>0</v>
      </c>
      <c r="AU20" s="24">
        <f t="shared" si="4"/>
        <v>0</v>
      </c>
      <c r="AV20" s="24">
        <f t="shared" si="4"/>
        <v>0</v>
      </c>
      <c r="AW20" s="25">
        <f t="shared" si="4"/>
        <v>0</v>
      </c>
    </row>
    <row r="21" spans="1:49" ht="15.75" thickBot="1" x14ac:dyDescent="0.3">
      <c r="A21" s="35" t="s">
        <v>2</v>
      </c>
      <c r="B21" s="22" t="str">
        <f>IF(B20=0, CONCATENATE(B19), CONCATENATE(B19, ",",B20))</f>
        <v>0</v>
      </c>
      <c r="C21" s="22" t="str">
        <f t="shared" ref="C21:AW21" si="5">IF(C20=0, CONCATENATE(C19), CONCATENATE(C19, ",",C20))</f>
        <v>0</v>
      </c>
      <c r="D21" s="22" t="str">
        <f t="shared" si="5"/>
        <v>0</v>
      </c>
      <c r="E21" s="22" t="str">
        <f t="shared" si="5"/>
        <v>0</v>
      </c>
      <c r="F21" s="22" t="str">
        <f t="shared" si="5"/>
        <v>0</v>
      </c>
      <c r="G21" s="22" t="str">
        <f t="shared" si="5"/>
        <v>0</v>
      </c>
      <c r="H21" s="22" t="str">
        <f t="shared" si="5"/>
        <v>2</v>
      </c>
      <c r="I21" s="22" t="str">
        <f t="shared" si="5"/>
        <v>2</v>
      </c>
      <c r="J21" s="22" t="str">
        <f t="shared" si="5"/>
        <v>2</v>
      </c>
      <c r="K21" s="22" t="str">
        <f t="shared" si="5"/>
        <v>2</v>
      </c>
      <c r="L21" s="22" t="str">
        <f t="shared" si="5"/>
        <v>1</v>
      </c>
      <c r="M21" s="22" t="str">
        <f t="shared" si="5"/>
        <v>1</v>
      </c>
      <c r="N21" s="22" t="str">
        <f t="shared" si="5"/>
        <v>0</v>
      </c>
      <c r="O21" s="22" t="str">
        <f t="shared" si="5"/>
        <v>0</v>
      </c>
      <c r="P21" s="22" t="str">
        <f t="shared" si="5"/>
        <v>0</v>
      </c>
      <c r="Q21" s="22" t="str">
        <f t="shared" si="5"/>
        <v>0</v>
      </c>
      <c r="R21" s="22" t="str">
        <f t="shared" si="5"/>
        <v>2</v>
      </c>
      <c r="S21" s="22" t="str">
        <f t="shared" si="5"/>
        <v>2</v>
      </c>
      <c r="T21" s="22" t="str">
        <f t="shared" si="5"/>
        <v>2</v>
      </c>
      <c r="U21" s="22" t="str">
        <f t="shared" si="5"/>
        <v>2</v>
      </c>
      <c r="V21" s="22" t="str">
        <f t="shared" si="5"/>
        <v>2</v>
      </c>
      <c r="W21" s="22" t="str">
        <f t="shared" si="5"/>
        <v>2</v>
      </c>
      <c r="X21" s="22" t="str">
        <f t="shared" si="5"/>
        <v>1</v>
      </c>
      <c r="Y21" s="22" t="str">
        <f t="shared" si="5"/>
        <v>1</v>
      </c>
      <c r="Z21" s="22" t="str">
        <f t="shared" si="5"/>
        <v>1</v>
      </c>
      <c r="AA21" s="22" t="str">
        <f t="shared" si="5"/>
        <v>0</v>
      </c>
      <c r="AB21" s="22" t="str">
        <f t="shared" si="5"/>
        <v>0</v>
      </c>
      <c r="AC21" s="22" t="str">
        <f t="shared" si="5"/>
        <v>0</v>
      </c>
      <c r="AD21" s="22" t="str">
        <f t="shared" si="5"/>
        <v>2</v>
      </c>
      <c r="AE21" s="22" t="str">
        <f t="shared" si="5"/>
        <v>2</v>
      </c>
      <c r="AF21" s="22" t="str">
        <f t="shared" si="5"/>
        <v>2</v>
      </c>
      <c r="AG21" s="22" t="str">
        <f t="shared" si="5"/>
        <v>2</v>
      </c>
      <c r="AH21" s="22" t="str">
        <f t="shared" si="5"/>
        <v>2</v>
      </c>
      <c r="AI21" s="22" t="str">
        <f t="shared" si="5"/>
        <v>2</v>
      </c>
      <c r="AJ21" s="22" t="str">
        <f t="shared" si="5"/>
        <v>1</v>
      </c>
      <c r="AK21" s="22" t="str">
        <f t="shared" si="5"/>
        <v>1</v>
      </c>
      <c r="AL21" s="22" t="str">
        <f t="shared" si="5"/>
        <v>1</v>
      </c>
      <c r="AM21" s="22" t="str">
        <f t="shared" si="5"/>
        <v>0</v>
      </c>
      <c r="AN21" s="22" t="str">
        <f t="shared" si="5"/>
        <v>0</v>
      </c>
      <c r="AO21" s="22" t="str">
        <f t="shared" si="5"/>
        <v>0</v>
      </c>
      <c r="AP21" s="22" t="str">
        <f t="shared" si="5"/>
        <v>0</v>
      </c>
      <c r="AQ21" s="22" t="str">
        <f t="shared" si="5"/>
        <v>2</v>
      </c>
      <c r="AR21" s="22" t="str">
        <f t="shared" si="5"/>
        <v>2</v>
      </c>
      <c r="AS21" s="22" t="str">
        <f t="shared" si="5"/>
        <v>1</v>
      </c>
      <c r="AT21" s="22" t="str">
        <f t="shared" si="5"/>
        <v>0</v>
      </c>
      <c r="AU21" s="22" t="str">
        <f t="shared" si="5"/>
        <v>0</v>
      </c>
      <c r="AV21" s="22" t="str">
        <f t="shared" si="5"/>
        <v>0</v>
      </c>
      <c r="AW21" s="23" t="str">
        <f t="shared" si="5"/>
        <v>0</v>
      </c>
    </row>
    <row r="22" spans="1:49" ht="15.75" thickBot="1" x14ac:dyDescent="0.3">
      <c r="A22" s="35" t="s">
        <v>19</v>
      </c>
      <c r="B22" s="21" t="str">
        <f>IF(SUM(B10,B20) = 0, CONCATENATE(SUM(B9+B19)), CONCATENATE(SUM(B9,B19), ",", SUM(B10,B20)))</f>
        <v>5</v>
      </c>
      <c r="C22" s="21" t="str">
        <f t="shared" ref="C22:AW22" si="6">IF(SUM(C10,C20) = 0, CONCATENATE(SUM(C9+C19)), CONCATENATE(SUM(C9,C19), ",", SUM(C10,C20)))</f>
        <v>5</v>
      </c>
      <c r="D22" s="21" t="str">
        <f t="shared" si="6"/>
        <v>5</v>
      </c>
      <c r="E22" s="21" t="str">
        <f t="shared" si="6"/>
        <v>5</v>
      </c>
      <c r="F22" s="21" t="str">
        <f t="shared" si="6"/>
        <v>5</v>
      </c>
      <c r="G22" s="21" t="str">
        <f t="shared" si="6"/>
        <v>5</v>
      </c>
      <c r="H22" s="21" t="str">
        <f t="shared" si="6"/>
        <v>5</v>
      </c>
      <c r="I22" s="21" t="str">
        <f t="shared" si="6"/>
        <v>5</v>
      </c>
      <c r="J22" s="21" t="str">
        <f t="shared" si="6"/>
        <v>5</v>
      </c>
      <c r="K22" s="21" t="str">
        <f t="shared" si="6"/>
        <v>5</v>
      </c>
      <c r="L22" s="21" t="str">
        <f t="shared" si="6"/>
        <v>5</v>
      </c>
      <c r="M22" s="21" t="str">
        <f t="shared" si="6"/>
        <v>5</v>
      </c>
      <c r="N22" s="21" t="str">
        <f t="shared" si="6"/>
        <v>5</v>
      </c>
      <c r="O22" s="21" t="str">
        <f t="shared" si="6"/>
        <v>5</v>
      </c>
      <c r="P22" s="21" t="str">
        <f t="shared" si="6"/>
        <v>5</v>
      </c>
      <c r="Q22" s="21" t="str">
        <f t="shared" si="6"/>
        <v>5</v>
      </c>
      <c r="R22" s="21" t="str">
        <f t="shared" si="6"/>
        <v>5</v>
      </c>
      <c r="S22" s="21" t="str">
        <f t="shared" si="6"/>
        <v>5</v>
      </c>
      <c r="T22" s="21" t="str">
        <f t="shared" si="6"/>
        <v>5</v>
      </c>
      <c r="U22" s="21" t="str">
        <f t="shared" si="6"/>
        <v>5</v>
      </c>
      <c r="V22" s="21" t="str">
        <f t="shared" si="6"/>
        <v>5</v>
      </c>
      <c r="W22" s="21" t="str">
        <f t="shared" si="6"/>
        <v>5</v>
      </c>
      <c r="X22" s="21" t="str">
        <f t="shared" si="6"/>
        <v>5</v>
      </c>
      <c r="Y22" s="21" t="str">
        <f t="shared" si="6"/>
        <v>5</v>
      </c>
      <c r="Z22" s="21" t="str">
        <f t="shared" si="6"/>
        <v>5</v>
      </c>
      <c r="AA22" s="21" t="str">
        <f t="shared" si="6"/>
        <v>5</v>
      </c>
      <c r="AB22" s="21" t="str">
        <f t="shared" si="6"/>
        <v>5</v>
      </c>
      <c r="AC22" s="21" t="str">
        <f t="shared" si="6"/>
        <v>5</v>
      </c>
      <c r="AD22" s="21" t="str">
        <f t="shared" si="6"/>
        <v>5</v>
      </c>
      <c r="AE22" s="21" t="str">
        <f t="shared" si="6"/>
        <v>5</v>
      </c>
      <c r="AF22" s="21" t="str">
        <f t="shared" si="6"/>
        <v>5</v>
      </c>
      <c r="AG22" s="21" t="str">
        <f t="shared" si="6"/>
        <v>5</v>
      </c>
      <c r="AH22" s="21" t="str">
        <f t="shared" si="6"/>
        <v>5</v>
      </c>
      <c r="AI22" s="21" t="str">
        <f t="shared" si="6"/>
        <v>5</v>
      </c>
      <c r="AJ22" s="21" t="str">
        <f t="shared" si="6"/>
        <v>5</v>
      </c>
      <c r="AK22" s="21" t="str">
        <f t="shared" si="6"/>
        <v>5</v>
      </c>
      <c r="AL22" s="21" t="str">
        <f t="shared" si="6"/>
        <v>5</v>
      </c>
      <c r="AM22" s="21" t="str">
        <f t="shared" si="6"/>
        <v>5</v>
      </c>
      <c r="AN22" s="21" t="str">
        <f t="shared" si="6"/>
        <v>5</v>
      </c>
      <c r="AO22" s="21" t="str">
        <f t="shared" si="6"/>
        <v>5</v>
      </c>
      <c r="AP22" s="21" t="str">
        <f t="shared" si="6"/>
        <v>5</v>
      </c>
      <c r="AQ22" s="21" t="str">
        <f t="shared" si="6"/>
        <v>5</v>
      </c>
      <c r="AR22" s="21" t="str">
        <f t="shared" si="6"/>
        <v>5</v>
      </c>
      <c r="AS22" s="21" t="str">
        <f t="shared" si="6"/>
        <v>5</v>
      </c>
      <c r="AT22" s="21" t="str">
        <f t="shared" si="6"/>
        <v>5</v>
      </c>
      <c r="AU22" s="21" t="str">
        <f t="shared" si="6"/>
        <v>5</v>
      </c>
      <c r="AV22" s="21" t="str">
        <f t="shared" si="6"/>
        <v>5</v>
      </c>
      <c r="AW22" s="39" t="str">
        <f t="shared" si="6"/>
        <v>5</v>
      </c>
    </row>
  </sheetData>
  <mergeCells count="2">
    <mergeCell ref="A2:AW2"/>
    <mergeCell ref="A12:AW12"/>
  </mergeCells>
  <conditionalFormatting sqref="B13:AW20 B3:AW10">
    <cfRule type="cellIs" dxfId="23" priority="1" operator="equal">
      <formula>"AL1"</formula>
    </cfRule>
    <cfRule type="cellIs" dxfId="22" priority="2" operator="equal">
      <formula>"Acar1"</formula>
    </cfRule>
    <cfRule type="cellIs" dxfId="21" priority="3" operator="equal">
      <formula>"AL2"</formula>
    </cfRule>
    <cfRule type="cellIs" dxfId="20" priority="4" operator="equal">
      <formula>"Acar2"</formula>
    </cfRule>
    <cfRule type="cellIs" dxfId="19" priority="5" operator="equal">
      <formula>"AL3"</formula>
    </cfRule>
    <cfRule type="cellIs" dxfId="18" priority="6" operator="equal">
      <formula>"Acar3"</formula>
    </cfRule>
    <cfRule type="cellIs" dxfId="17" priority="7" operator="equal">
      <formula>"AL4"</formula>
    </cfRule>
    <cfRule type="cellIs" dxfId="16" priority="8" operator="equal">
      <formula>"Acar4"</formula>
    </cfRule>
    <cfRule type="cellIs" dxfId="15" priority="9" operator="equal">
      <formula>"AL5"</formula>
    </cfRule>
    <cfRule type="cellIs" dxfId="14" priority="10" operator="equal">
      <formula>"Acar5"</formula>
    </cfRule>
    <cfRule type="cellIs" dxfId="13" priority="11" operator="equal">
      <formula>"AL6"</formula>
    </cfRule>
    <cfRule type="cellIs" dxfId="12" priority="12" operator="equal">
      <formula>"Acar6"</formula>
    </cfRule>
  </conditionalFormatting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D67B2B79-4583-4604-A075-DD879F0E8214}">
          <x14:formula1>
            <xm:f>List!$F$2:$F$19</xm:f>
          </x14:formula1>
          <xm:sqref>B13:AW18 B3:AW8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3F9DE3-753B-47EC-9A7D-27A2CB85A18D}">
  <sheetPr>
    <pageSetUpPr fitToPage="1"/>
  </sheetPr>
  <dimension ref="A1:AW32"/>
  <sheetViews>
    <sheetView zoomScale="85" zoomScaleNormal="85" workbookViewId="0">
      <pane xSplit="1" ySplit="2" topLeftCell="B3" activePane="bottomRight" state="frozen"/>
      <selection pane="topRight" activeCell="C1" sqref="C1"/>
      <selection pane="bottomLeft" activeCell="A6" sqref="A6"/>
      <selection pane="bottomRight" activeCell="P39" sqref="P39"/>
    </sheetView>
  </sheetViews>
  <sheetFormatPr defaultRowHeight="15" x14ac:dyDescent="0.25"/>
  <cols>
    <col min="1" max="1" width="12.28515625" bestFit="1" customWidth="1"/>
    <col min="2" max="2" width="8.140625" bestFit="1" customWidth="1"/>
    <col min="3" max="3" width="7.7109375" bestFit="1" customWidth="1"/>
    <col min="4" max="6" width="8.140625" bestFit="1" customWidth="1"/>
    <col min="7" max="7" width="7.7109375" bestFit="1" customWidth="1"/>
    <col min="8" max="10" width="8.140625" bestFit="1" customWidth="1"/>
    <col min="11" max="11" width="7.7109375" bestFit="1" customWidth="1"/>
    <col min="12" max="13" width="8.140625" bestFit="1" customWidth="1"/>
    <col min="14" max="14" width="7.7109375" bestFit="1" customWidth="1"/>
    <col min="15" max="15" width="7.28515625" bestFit="1" customWidth="1"/>
    <col min="16" max="17" width="7.7109375" bestFit="1" customWidth="1"/>
    <col min="18" max="18" width="8.140625" bestFit="1" customWidth="1"/>
    <col min="19" max="19" width="7.7109375" bestFit="1" customWidth="1"/>
    <col min="20" max="22" width="8.140625" bestFit="1" customWidth="1"/>
    <col min="23" max="23" width="7.7109375" bestFit="1" customWidth="1"/>
    <col min="24" max="26" width="8.140625" bestFit="1" customWidth="1"/>
    <col min="27" max="27" width="7.7109375" bestFit="1" customWidth="1"/>
    <col min="28" max="30" width="8.140625" bestFit="1" customWidth="1"/>
    <col min="31" max="31" width="7.7109375" bestFit="1" customWidth="1"/>
    <col min="32" max="34" width="8.140625" bestFit="1" customWidth="1"/>
    <col min="35" max="35" width="7.7109375" bestFit="1" customWidth="1"/>
    <col min="36" max="38" width="8.140625" bestFit="1" customWidth="1"/>
    <col min="39" max="39" width="7.7109375" bestFit="1" customWidth="1"/>
    <col min="40" max="42" width="8.140625" bestFit="1" customWidth="1"/>
    <col min="43" max="43" width="7.7109375" bestFit="1" customWidth="1"/>
    <col min="44" max="46" width="8.140625" bestFit="1" customWidth="1"/>
    <col min="47" max="47" width="7.7109375" bestFit="1" customWidth="1"/>
    <col min="48" max="49" width="8.140625" bestFit="1" customWidth="1"/>
  </cols>
  <sheetData>
    <row r="1" spans="1:49" x14ac:dyDescent="0.25">
      <c r="A1" s="36" t="s">
        <v>0</v>
      </c>
      <c r="B1" s="1">
        <v>0.41666666666666669</v>
      </c>
      <c r="C1" s="2">
        <v>0.42708333333333331</v>
      </c>
      <c r="D1" s="2">
        <v>0.4375</v>
      </c>
      <c r="E1" s="2">
        <v>0.44791666666666702</v>
      </c>
      <c r="F1" s="1">
        <v>0.45833333333333298</v>
      </c>
      <c r="G1" s="2">
        <v>0.46875</v>
      </c>
      <c r="H1" s="2">
        <v>0.47916666666666602</v>
      </c>
      <c r="I1" s="3">
        <v>0.48958333333333298</v>
      </c>
      <c r="J1" s="1">
        <v>0.5</v>
      </c>
      <c r="K1" s="2">
        <v>0.51041666666666596</v>
      </c>
      <c r="L1" s="2">
        <v>0.52083333333333304</v>
      </c>
      <c r="M1" s="2">
        <v>0.53125</v>
      </c>
      <c r="N1" s="1">
        <v>0.54166666666666696</v>
      </c>
      <c r="O1" s="2">
        <v>0.55208333333333304</v>
      </c>
      <c r="P1" s="2">
        <v>0.5625</v>
      </c>
      <c r="Q1" s="2">
        <v>0.57291666666666596</v>
      </c>
      <c r="R1" s="1">
        <v>0.58333333333333304</v>
      </c>
      <c r="S1" s="2">
        <v>0.59375</v>
      </c>
      <c r="T1" s="2">
        <v>0.60416666666666596</v>
      </c>
      <c r="U1" s="2">
        <v>0.61458333333333304</v>
      </c>
      <c r="V1" s="1">
        <v>0.625</v>
      </c>
      <c r="W1" s="2">
        <v>0.63541666666666596</v>
      </c>
      <c r="X1" s="2">
        <v>0.64583333333333304</v>
      </c>
      <c r="Y1" s="2">
        <v>0.656249999999999</v>
      </c>
      <c r="Z1" s="1">
        <v>0.66666666666666596</v>
      </c>
      <c r="AA1" s="2">
        <v>0.67708333333333304</v>
      </c>
      <c r="AB1" s="2">
        <v>0.687499999999999</v>
      </c>
      <c r="AC1" s="2">
        <v>0.69791666666666596</v>
      </c>
      <c r="AD1" s="1">
        <v>0.70833333333333304</v>
      </c>
      <c r="AE1" s="2">
        <v>0.718749999999999</v>
      </c>
      <c r="AF1" s="2">
        <v>0.72916666666666596</v>
      </c>
      <c r="AG1" s="2">
        <v>0.73958333333333304</v>
      </c>
      <c r="AH1" s="1">
        <v>0.749999999999999</v>
      </c>
      <c r="AI1" s="2">
        <v>0.76041666666666596</v>
      </c>
      <c r="AJ1" s="2">
        <v>0.77083333333333204</v>
      </c>
      <c r="AK1" s="2">
        <v>0.781249999999999</v>
      </c>
      <c r="AL1" s="1">
        <v>0.79166666666666596</v>
      </c>
      <c r="AM1" s="2">
        <v>0.80208333333333204</v>
      </c>
      <c r="AN1" s="2">
        <v>0.812499999999999</v>
      </c>
      <c r="AO1" s="2">
        <v>0.82291666666666596</v>
      </c>
      <c r="AP1" s="1">
        <v>0.83333333333333204</v>
      </c>
      <c r="AQ1" s="2">
        <v>0.843749999999999</v>
      </c>
      <c r="AR1" s="2">
        <v>0.85416666666666496</v>
      </c>
      <c r="AS1" s="2">
        <v>0.86458333333333204</v>
      </c>
      <c r="AT1" s="1">
        <v>0.874999999999999</v>
      </c>
      <c r="AU1" s="2">
        <v>0.88541666666666496</v>
      </c>
      <c r="AV1" s="2">
        <v>0.89583333333333204</v>
      </c>
      <c r="AW1" s="3">
        <v>0.906249999999999</v>
      </c>
    </row>
    <row r="2" spans="1:49" ht="15.75" thickBot="1" x14ac:dyDescent="0.3">
      <c r="A2" s="37" t="s">
        <v>1</v>
      </c>
      <c r="B2" s="4">
        <v>0.91666666666666663</v>
      </c>
      <c r="C2" s="5">
        <v>0.92708333333333337</v>
      </c>
      <c r="D2" s="5">
        <v>0.9375</v>
      </c>
      <c r="E2" s="6">
        <v>0.94791666666666663</v>
      </c>
      <c r="F2" s="4">
        <v>0.95833333333333404</v>
      </c>
      <c r="G2" s="5">
        <v>0.96875</v>
      </c>
      <c r="H2" s="5">
        <v>0.97916666666666696</v>
      </c>
      <c r="I2" s="6">
        <v>0.98958333333333404</v>
      </c>
      <c r="J2" s="4">
        <v>1</v>
      </c>
      <c r="K2" s="5">
        <v>1.0104166666666701</v>
      </c>
      <c r="L2" s="5">
        <v>1.0208333333333299</v>
      </c>
      <c r="M2" s="6">
        <v>1.03125</v>
      </c>
      <c r="N2" s="4">
        <v>1.0416666666666701</v>
      </c>
      <c r="O2" s="5">
        <v>1.0520833333333299</v>
      </c>
      <c r="P2" s="5">
        <v>1.0625</v>
      </c>
      <c r="Q2" s="6">
        <v>1.0729166666666701</v>
      </c>
      <c r="R2" s="4">
        <v>1.0833333333333299</v>
      </c>
      <c r="S2" s="5">
        <v>1.09375</v>
      </c>
      <c r="T2" s="5">
        <v>1.1041666666666701</v>
      </c>
      <c r="U2" s="6">
        <v>1.1145833333333299</v>
      </c>
      <c r="V2" s="4">
        <v>1.125</v>
      </c>
      <c r="W2" s="5">
        <v>1.1354166666666701</v>
      </c>
      <c r="X2" s="5">
        <v>1.1458333333333299</v>
      </c>
      <c r="Y2" s="6">
        <v>1.15625</v>
      </c>
      <c r="Z2" s="4">
        <v>1.1666666666666701</v>
      </c>
      <c r="AA2" s="5">
        <v>1.1770833333333399</v>
      </c>
      <c r="AB2" s="5">
        <v>1.1875</v>
      </c>
      <c r="AC2" s="6">
        <v>1.1979166666666701</v>
      </c>
      <c r="AD2" s="4">
        <v>1.2083333333333399</v>
      </c>
      <c r="AE2" s="5">
        <v>1.21875</v>
      </c>
      <c r="AF2" s="5">
        <v>1.2291666666666701</v>
      </c>
      <c r="AG2" s="6">
        <v>1.2395833333333399</v>
      </c>
      <c r="AH2" s="4">
        <v>1.25</v>
      </c>
      <c r="AI2" s="5">
        <v>1.2604166666666701</v>
      </c>
      <c r="AJ2" s="5">
        <v>1.2708333333333399</v>
      </c>
      <c r="AK2" s="6">
        <v>1.28125</v>
      </c>
      <c r="AL2" s="4">
        <v>1.2916666666666701</v>
      </c>
      <c r="AM2" s="5">
        <v>1.3020833333333399</v>
      </c>
      <c r="AN2" s="5">
        <v>1.3125</v>
      </c>
      <c r="AO2" s="6">
        <v>1.3229166666666701</v>
      </c>
      <c r="AP2" s="4">
        <v>1.3333333333333399</v>
      </c>
      <c r="AQ2" s="5">
        <v>1.34375</v>
      </c>
      <c r="AR2" s="5">
        <v>1.3541666666666701</v>
      </c>
      <c r="AS2" s="6">
        <v>1.3645833333333399</v>
      </c>
      <c r="AT2" s="4">
        <v>1.375</v>
      </c>
      <c r="AU2" s="5">
        <v>1.3854166666666701</v>
      </c>
      <c r="AV2" s="5">
        <v>1.3958333333333399</v>
      </c>
      <c r="AW2" s="6">
        <v>1.40625</v>
      </c>
    </row>
    <row r="3" spans="1:49" x14ac:dyDescent="0.25">
      <c r="A3" s="7" t="s">
        <v>22</v>
      </c>
      <c r="B3" s="10" t="s">
        <v>22</v>
      </c>
      <c r="C3" s="11" t="s">
        <v>22</v>
      </c>
      <c r="D3" s="11" t="s">
        <v>22</v>
      </c>
      <c r="E3" s="11" t="s">
        <v>22</v>
      </c>
      <c r="F3" s="11" t="s">
        <v>22</v>
      </c>
      <c r="G3" s="11" t="s">
        <v>22</v>
      </c>
      <c r="H3" s="11" t="s">
        <v>3</v>
      </c>
      <c r="I3" s="11" t="s">
        <v>3</v>
      </c>
      <c r="J3" s="11" t="s">
        <v>22</v>
      </c>
      <c r="K3" s="11" t="s">
        <v>22</v>
      </c>
      <c r="L3" s="11" t="s">
        <v>22</v>
      </c>
      <c r="M3" s="11" t="s">
        <v>22</v>
      </c>
      <c r="N3" s="11" t="s">
        <v>22</v>
      </c>
      <c r="O3" s="11" t="s">
        <v>22</v>
      </c>
      <c r="P3" s="11" t="s">
        <v>22</v>
      </c>
      <c r="Q3" s="11" t="s">
        <v>3</v>
      </c>
      <c r="R3" s="11" t="s">
        <v>3</v>
      </c>
      <c r="S3" s="11" t="s">
        <v>3</v>
      </c>
      <c r="T3" s="11" t="s">
        <v>22</v>
      </c>
      <c r="U3" s="11" t="s">
        <v>22</v>
      </c>
      <c r="V3" s="11" t="s">
        <v>22</v>
      </c>
      <c r="W3" s="11" t="s">
        <v>22</v>
      </c>
      <c r="X3" s="11" t="s">
        <v>22</v>
      </c>
      <c r="Y3" s="11" t="s">
        <v>22</v>
      </c>
      <c r="Z3" s="11" t="s">
        <v>22</v>
      </c>
      <c r="AA3" s="11" t="s">
        <v>22</v>
      </c>
      <c r="AB3" s="11" t="s">
        <v>3</v>
      </c>
      <c r="AC3" s="11" t="s">
        <v>3</v>
      </c>
      <c r="AD3" s="11" t="s">
        <v>3</v>
      </c>
      <c r="AE3" s="11" t="s">
        <v>22</v>
      </c>
      <c r="AF3" s="11" t="s">
        <v>22</v>
      </c>
      <c r="AG3" s="11" t="s">
        <v>22</v>
      </c>
      <c r="AH3" s="11" t="s">
        <v>22</v>
      </c>
      <c r="AI3" s="11" t="s">
        <v>22</v>
      </c>
      <c r="AJ3" s="11" t="s">
        <v>22</v>
      </c>
      <c r="AK3" s="11" t="s">
        <v>22</v>
      </c>
      <c r="AL3" s="11" t="s">
        <v>22</v>
      </c>
      <c r="AM3" s="11" t="s">
        <v>22</v>
      </c>
      <c r="AN3" s="11" t="s">
        <v>22</v>
      </c>
      <c r="AO3" s="11" t="s">
        <v>3</v>
      </c>
      <c r="AP3" s="11" t="s">
        <v>22</v>
      </c>
      <c r="AQ3" s="11" t="s">
        <v>22</v>
      </c>
      <c r="AR3" s="11" t="s">
        <v>22</v>
      </c>
      <c r="AS3" s="11" t="s">
        <v>22</v>
      </c>
      <c r="AT3" s="11" t="s">
        <v>22</v>
      </c>
      <c r="AU3" s="11" t="s">
        <v>22</v>
      </c>
      <c r="AV3" s="11" t="s">
        <v>22</v>
      </c>
      <c r="AW3" s="12" t="s">
        <v>22</v>
      </c>
    </row>
    <row r="4" spans="1:49" x14ac:dyDescent="0.25">
      <c r="A4" s="8" t="s">
        <v>23</v>
      </c>
      <c r="B4" s="13" t="s">
        <v>23</v>
      </c>
      <c r="C4" s="40" t="s">
        <v>23</v>
      </c>
      <c r="D4" s="40" t="s">
        <v>23</v>
      </c>
      <c r="E4" s="40" t="s">
        <v>23</v>
      </c>
      <c r="F4" s="40" t="s">
        <v>23</v>
      </c>
      <c r="G4" s="40" t="s">
        <v>23</v>
      </c>
      <c r="H4" s="40" t="s">
        <v>3</v>
      </c>
      <c r="I4" s="40" t="s">
        <v>3</v>
      </c>
      <c r="J4" s="40" t="s">
        <v>23</v>
      </c>
      <c r="K4" s="40" t="s">
        <v>23</v>
      </c>
      <c r="L4" s="40" t="s">
        <v>23</v>
      </c>
      <c r="M4" s="40" t="s">
        <v>23</v>
      </c>
      <c r="N4" s="40" t="s">
        <v>23</v>
      </c>
      <c r="O4" s="40" t="s">
        <v>23</v>
      </c>
      <c r="P4" s="40" t="s">
        <v>23</v>
      </c>
      <c r="Q4" s="40" t="s">
        <v>3</v>
      </c>
      <c r="R4" s="40" t="s">
        <v>3</v>
      </c>
      <c r="S4" s="40" t="s">
        <v>3</v>
      </c>
      <c r="T4" s="40" t="s">
        <v>23</v>
      </c>
      <c r="U4" s="40" t="s">
        <v>23</v>
      </c>
      <c r="V4" s="40" t="s">
        <v>23</v>
      </c>
      <c r="W4" s="40" t="s">
        <v>23</v>
      </c>
      <c r="X4" s="40" t="s">
        <v>23</v>
      </c>
      <c r="Y4" s="40" t="s">
        <v>23</v>
      </c>
      <c r="Z4" s="40" t="s">
        <v>23</v>
      </c>
      <c r="AA4" s="40" t="s">
        <v>23</v>
      </c>
      <c r="AB4" s="40" t="s">
        <v>3</v>
      </c>
      <c r="AC4" s="40" t="s">
        <v>3</v>
      </c>
      <c r="AD4" s="40" t="s">
        <v>3</v>
      </c>
      <c r="AE4" s="40" t="s">
        <v>23</v>
      </c>
      <c r="AF4" s="40" t="s">
        <v>23</v>
      </c>
      <c r="AG4" s="40" t="s">
        <v>23</v>
      </c>
      <c r="AH4" s="40" t="s">
        <v>23</v>
      </c>
      <c r="AI4" s="40" t="s">
        <v>23</v>
      </c>
      <c r="AJ4" s="40" t="s">
        <v>23</v>
      </c>
      <c r="AK4" s="40" t="s">
        <v>23</v>
      </c>
      <c r="AL4" s="40" t="s">
        <v>23</v>
      </c>
      <c r="AM4" s="40" t="s">
        <v>23</v>
      </c>
      <c r="AN4" s="40" t="s">
        <v>23</v>
      </c>
      <c r="AO4" s="40" t="s">
        <v>3</v>
      </c>
      <c r="AP4" s="40" t="s">
        <v>23</v>
      </c>
      <c r="AQ4" s="40" t="s">
        <v>23</v>
      </c>
      <c r="AR4" s="40" t="s">
        <v>23</v>
      </c>
      <c r="AS4" s="40" t="s">
        <v>23</v>
      </c>
      <c r="AT4" s="40" t="s">
        <v>23</v>
      </c>
      <c r="AU4" s="40" t="s">
        <v>23</v>
      </c>
      <c r="AV4" s="40" t="s">
        <v>23</v>
      </c>
      <c r="AW4" s="14" t="s">
        <v>23</v>
      </c>
    </row>
    <row r="5" spans="1:49" x14ac:dyDescent="0.25">
      <c r="A5" s="8" t="s">
        <v>24</v>
      </c>
      <c r="B5" s="13" t="s">
        <v>24</v>
      </c>
      <c r="C5" s="40" t="s">
        <v>24</v>
      </c>
      <c r="D5" s="40" t="s">
        <v>24</v>
      </c>
      <c r="E5" s="40" t="s">
        <v>24</v>
      </c>
      <c r="F5" s="40" t="s">
        <v>24</v>
      </c>
      <c r="G5" s="40" t="s">
        <v>24</v>
      </c>
      <c r="H5" s="40" t="s">
        <v>24</v>
      </c>
      <c r="I5" s="40" t="s">
        <v>24</v>
      </c>
      <c r="J5" s="40" t="s">
        <v>3</v>
      </c>
      <c r="K5" s="40" t="s">
        <v>3</v>
      </c>
      <c r="L5" s="40" t="s">
        <v>24</v>
      </c>
      <c r="M5" s="40" t="s">
        <v>24</v>
      </c>
      <c r="N5" s="40" t="s">
        <v>24</v>
      </c>
      <c r="O5" s="40" t="s">
        <v>24</v>
      </c>
      <c r="P5" s="40" t="s">
        <v>24</v>
      </c>
      <c r="Q5" s="40" t="s">
        <v>24</v>
      </c>
      <c r="R5" s="40" t="s">
        <v>24</v>
      </c>
      <c r="S5" s="40" t="s">
        <v>24</v>
      </c>
      <c r="T5" s="40" t="s">
        <v>3</v>
      </c>
      <c r="U5" s="40" t="s">
        <v>3</v>
      </c>
      <c r="V5" s="40" t="s">
        <v>3</v>
      </c>
      <c r="W5" s="40" t="s">
        <v>24</v>
      </c>
      <c r="X5" s="40" t="s">
        <v>24</v>
      </c>
      <c r="Y5" s="40" t="s">
        <v>24</v>
      </c>
      <c r="Z5" s="40" t="s">
        <v>24</v>
      </c>
      <c r="AA5" s="40" t="s">
        <v>24</v>
      </c>
      <c r="AB5" s="40" t="s">
        <v>24</v>
      </c>
      <c r="AC5" s="40" t="s">
        <v>24</v>
      </c>
      <c r="AD5" s="40" t="s">
        <v>24</v>
      </c>
      <c r="AE5" s="40" t="s">
        <v>3</v>
      </c>
      <c r="AF5" s="40" t="s">
        <v>3</v>
      </c>
      <c r="AG5" s="40" t="s">
        <v>3</v>
      </c>
      <c r="AH5" s="40" t="s">
        <v>24</v>
      </c>
      <c r="AI5" s="40" t="s">
        <v>24</v>
      </c>
      <c r="AJ5" s="40" t="s">
        <v>24</v>
      </c>
      <c r="AK5" s="40" t="s">
        <v>24</v>
      </c>
      <c r="AL5" s="40" t="s">
        <v>24</v>
      </c>
      <c r="AM5" s="40" t="s">
        <v>24</v>
      </c>
      <c r="AN5" s="40" t="s">
        <v>24</v>
      </c>
      <c r="AO5" s="40" t="s">
        <v>24</v>
      </c>
      <c r="AP5" s="40" t="s">
        <v>3</v>
      </c>
      <c r="AQ5" s="40" t="s">
        <v>24</v>
      </c>
      <c r="AR5" s="40" t="s">
        <v>24</v>
      </c>
      <c r="AS5" s="40" t="s">
        <v>24</v>
      </c>
      <c r="AT5" s="40" t="s">
        <v>24</v>
      </c>
      <c r="AU5" s="40" t="s">
        <v>24</v>
      </c>
      <c r="AV5" s="40" t="s">
        <v>24</v>
      </c>
      <c r="AW5" s="14" t="s">
        <v>24</v>
      </c>
    </row>
    <row r="6" spans="1:49" x14ac:dyDescent="0.25">
      <c r="A6" s="8" t="s">
        <v>25</v>
      </c>
      <c r="B6" s="13" t="s">
        <v>25</v>
      </c>
      <c r="C6" s="40" t="s">
        <v>25</v>
      </c>
      <c r="D6" s="40" t="s">
        <v>25</v>
      </c>
      <c r="E6" s="40" t="s">
        <v>25</v>
      </c>
      <c r="F6" s="40" t="s">
        <v>25</v>
      </c>
      <c r="G6" s="40" t="s">
        <v>25</v>
      </c>
      <c r="H6" s="40" t="s">
        <v>25</v>
      </c>
      <c r="I6" s="40" t="s">
        <v>25</v>
      </c>
      <c r="J6" s="40" t="s">
        <v>3</v>
      </c>
      <c r="K6" s="40" t="s">
        <v>3</v>
      </c>
      <c r="L6" s="40" t="s">
        <v>25</v>
      </c>
      <c r="M6" s="40" t="s">
        <v>25</v>
      </c>
      <c r="N6" s="40" t="s">
        <v>25</v>
      </c>
      <c r="O6" s="40" t="s">
        <v>25</v>
      </c>
      <c r="P6" s="40" t="s">
        <v>25</v>
      </c>
      <c r="Q6" s="40" t="s">
        <v>25</v>
      </c>
      <c r="R6" s="40" t="s">
        <v>25</v>
      </c>
      <c r="S6" s="40" t="s">
        <v>25</v>
      </c>
      <c r="T6" s="40" t="s">
        <v>3</v>
      </c>
      <c r="U6" s="40" t="s">
        <v>3</v>
      </c>
      <c r="V6" s="40" t="s">
        <v>3</v>
      </c>
      <c r="W6" s="40" t="s">
        <v>25</v>
      </c>
      <c r="X6" s="40" t="s">
        <v>25</v>
      </c>
      <c r="Y6" s="40" t="s">
        <v>25</v>
      </c>
      <c r="Z6" s="40" t="s">
        <v>25</v>
      </c>
      <c r="AA6" s="40" t="s">
        <v>25</v>
      </c>
      <c r="AB6" s="40" t="s">
        <v>25</v>
      </c>
      <c r="AC6" s="40" t="s">
        <v>25</v>
      </c>
      <c r="AD6" s="40" t="s">
        <v>25</v>
      </c>
      <c r="AE6" s="40" t="s">
        <v>3</v>
      </c>
      <c r="AF6" s="40" t="s">
        <v>3</v>
      </c>
      <c r="AG6" s="40" t="s">
        <v>3</v>
      </c>
      <c r="AH6" s="40" t="s">
        <v>25</v>
      </c>
      <c r="AI6" s="40" t="s">
        <v>25</v>
      </c>
      <c r="AJ6" s="40" t="s">
        <v>25</v>
      </c>
      <c r="AK6" s="40" t="s">
        <v>25</v>
      </c>
      <c r="AL6" s="40" t="s">
        <v>25</v>
      </c>
      <c r="AM6" s="40" t="s">
        <v>25</v>
      </c>
      <c r="AN6" s="40" t="s">
        <v>25</v>
      </c>
      <c r="AO6" s="40" t="s">
        <v>25</v>
      </c>
      <c r="AP6" s="40" t="s">
        <v>3</v>
      </c>
      <c r="AQ6" s="40" t="s">
        <v>25</v>
      </c>
      <c r="AR6" s="40" t="s">
        <v>25</v>
      </c>
      <c r="AS6" s="40" t="s">
        <v>25</v>
      </c>
      <c r="AT6" s="40" t="s">
        <v>25</v>
      </c>
      <c r="AU6" s="40" t="s">
        <v>25</v>
      </c>
      <c r="AV6" s="40" t="s">
        <v>25</v>
      </c>
      <c r="AW6" s="14" t="s">
        <v>25</v>
      </c>
    </row>
    <row r="7" spans="1:49" x14ac:dyDescent="0.25">
      <c r="A7" s="8" t="s">
        <v>26</v>
      </c>
      <c r="B7" s="13" t="s">
        <v>26</v>
      </c>
      <c r="C7" s="40" t="s">
        <v>26</v>
      </c>
      <c r="D7" s="40" t="s">
        <v>26</v>
      </c>
      <c r="E7" s="40" t="s">
        <v>26</v>
      </c>
      <c r="F7" s="40" t="s">
        <v>26</v>
      </c>
      <c r="G7" s="40" t="s">
        <v>26</v>
      </c>
      <c r="H7" s="40" t="s">
        <v>26</v>
      </c>
      <c r="I7" s="40" t="s">
        <v>26</v>
      </c>
      <c r="J7" s="40" t="s">
        <v>26</v>
      </c>
      <c r="K7" s="40" t="s">
        <v>26</v>
      </c>
      <c r="L7" s="40" t="s">
        <v>3</v>
      </c>
      <c r="M7" s="40" t="s">
        <v>3</v>
      </c>
      <c r="N7" s="40" t="s">
        <v>26</v>
      </c>
      <c r="O7" s="40" t="s">
        <v>26</v>
      </c>
      <c r="P7" s="40" t="s">
        <v>26</v>
      </c>
      <c r="Q7" s="40" t="s">
        <v>26</v>
      </c>
      <c r="R7" s="40" t="s">
        <v>26</v>
      </c>
      <c r="S7" s="40" t="s">
        <v>26</v>
      </c>
      <c r="T7" s="40" t="s">
        <v>26</v>
      </c>
      <c r="U7" s="40" t="s">
        <v>26</v>
      </c>
      <c r="V7" s="40" t="s">
        <v>26</v>
      </c>
      <c r="W7" s="40" t="s">
        <v>3</v>
      </c>
      <c r="X7" s="40" t="s">
        <v>3</v>
      </c>
      <c r="Y7" s="40" t="s">
        <v>3</v>
      </c>
      <c r="Z7" s="40" t="s">
        <v>26</v>
      </c>
      <c r="AA7" s="40" t="s">
        <v>26</v>
      </c>
      <c r="AB7" s="40" t="s">
        <v>26</v>
      </c>
      <c r="AC7" s="40" t="s">
        <v>26</v>
      </c>
      <c r="AD7" s="40" t="s">
        <v>26</v>
      </c>
      <c r="AE7" s="40" t="s">
        <v>26</v>
      </c>
      <c r="AF7" s="40" t="s">
        <v>26</v>
      </c>
      <c r="AG7" s="40" t="s">
        <v>26</v>
      </c>
      <c r="AH7" s="40" t="s">
        <v>3</v>
      </c>
      <c r="AI7" s="40" t="s">
        <v>3</v>
      </c>
      <c r="AJ7" s="40" t="s">
        <v>3</v>
      </c>
      <c r="AK7" s="40" t="s">
        <v>26</v>
      </c>
      <c r="AL7" s="40" t="s">
        <v>26</v>
      </c>
      <c r="AM7" s="40" t="s">
        <v>26</v>
      </c>
      <c r="AN7" s="40" t="s">
        <v>26</v>
      </c>
      <c r="AO7" s="40" t="s">
        <v>26</v>
      </c>
      <c r="AP7" s="40" t="s">
        <v>26</v>
      </c>
      <c r="AQ7" s="40" t="s">
        <v>3</v>
      </c>
      <c r="AR7" s="40" t="s">
        <v>26</v>
      </c>
      <c r="AS7" s="40" t="s">
        <v>26</v>
      </c>
      <c r="AT7" s="40" t="s">
        <v>26</v>
      </c>
      <c r="AU7" s="40" t="s">
        <v>26</v>
      </c>
      <c r="AV7" s="40" t="s">
        <v>26</v>
      </c>
      <c r="AW7" s="14" t="s">
        <v>26</v>
      </c>
    </row>
    <row r="8" spans="1:49" ht="15.75" thickBot="1" x14ac:dyDescent="0.3">
      <c r="A8" s="8" t="s">
        <v>27</v>
      </c>
      <c r="B8" s="15" t="s">
        <v>27</v>
      </c>
      <c r="C8" s="16" t="s">
        <v>27</v>
      </c>
      <c r="D8" s="16" t="s">
        <v>27</v>
      </c>
      <c r="E8" s="16" t="s">
        <v>27</v>
      </c>
      <c r="F8" s="16" t="s">
        <v>27</v>
      </c>
      <c r="G8" s="16" t="s">
        <v>27</v>
      </c>
      <c r="H8" s="16" t="s">
        <v>27</v>
      </c>
      <c r="I8" s="16" t="s">
        <v>27</v>
      </c>
      <c r="J8" s="16" t="s">
        <v>27</v>
      </c>
      <c r="K8" s="16" t="s">
        <v>27</v>
      </c>
      <c r="L8" s="16" t="s">
        <v>3</v>
      </c>
      <c r="M8" s="16" t="s">
        <v>3</v>
      </c>
      <c r="N8" s="16" t="s">
        <v>27</v>
      </c>
      <c r="O8" s="16" t="s">
        <v>27</v>
      </c>
      <c r="P8" s="16" t="s">
        <v>27</v>
      </c>
      <c r="Q8" s="16" t="s">
        <v>27</v>
      </c>
      <c r="R8" s="16" t="s">
        <v>27</v>
      </c>
      <c r="S8" s="16" t="s">
        <v>27</v>
      </c>
      <c r="T8" s="16" t="s">
        <v>27</v>
      </c>
      <c r="U8" s="16" t="s">
        <v>27</v>
      </c>
      <c r="V8" s="16" t="s">
        <v>27</v>
      </c>
      <c r="W8" s="16" t="s">
        <v>3</v>
      </c>
      <c r="X8" s="16" t="s">
        <v>3</v>
      </c>
      <c r="Y8" s="16" t="s">
        <v>3</v>
      </c>
      <c r="Z8" s="16" t="s">
        <v>27</v>
      </c>
      <c r="AA8" s="16" t="s">
        <v>27</v>
      </c>
      <c r="AB8" s="16" t="s">
        <v>27</v>
      </c>
      <c r="AC8" s="16" t="s">
        <v>27</v>
      </c>
      <c r="AD8" s="16" t="s">
        <v>27</v>
      </c>
      <c r="AE8" s="16" t="s">
        <v>27</v>
      </c>
      <c r="AF8" s="16" t="s">
        <v>27</v>
      </c>
      <c r="AG8" s="16" t="s">
        <v>27</v>
      </c>
      <c r="AH8" s="16" t="s">
        <v>3</v>
      </c>
      <c r="AI8" s="16" t="s">
        <v>3</v>
      </c>
      <c r="AJ8" s="16" t="s">
        <v>3</v>
      </c>
      <c r="AK8" s="16" t="s">
        <v>27</v>
      </c>
      <c r="AL8" s="16" t="s">
        <v>27</v>
      </c>
      <c r="AM8" s="16" t="s">
        <v>27</v>
      </c>
      <c r="AN8" s="16" t="s">
        <v>27</v>
      </c>
      <c r="AO8" s="16" t="s">
        <v>27</v>
      </c>
      <c r="AP8" s="16" t="s">
        <v>27</v>
      </c>
      <c r="AQ8" s="16" t="s">
        <v>3</v>
      </c>
      <c r="AR8" s="16" t="s">
        <v>27</v>
      </c>
      <c r="AS8" s="16" t="s">
        <v>27</v>
      </c>
      <c r="AT8" s="16" t="s">
        <v>27</v>
      </c>
      <c r="AU8" s="16" t="s">
        <v>27</v>
      </c>
      <c r="AV8" s="16" t="s">
        <v>27</v>
      </c>
      <c r="AW8" s="17" t="s">
        <v>27</v>
      </c>
    </row>
    <row r="9" spans="1:49" ht="15.75" thickBot="1" x14ac:dyDescent="0.3">
      <c r="A9" s="35" t="s">
        <v>17</v>
      </c>
      <c r="B9" s="22">
        <f>SUM(COUNTIF(B3:B8,"=AL*"))</f>
        <v>6</v>
      </c>
      <c r="C9" s="22">
        <f t="shared" ref="C9:AW9" si="0">SUM(COUNTIF(C3:C8,"=AL*"))</f>
        <v>6</v>
      </c>
      <c r="D9" s="22">
        <f t="shared" si="0"/>
        <v>6</v>
      </c>
      <c r="E9" s="22">
        <f t="shared" si="0"/>
        <v>6</v>
      </c>
      <c r="F9" s="22">
        <f t="shared" si="0"/>
        <v>6</v>
      </c>
      <c r="G9" s="22">
        <f t="shared" si="0"/>
        <v>6</v>
      </c>
      <c r="H9" s="22">
        <f t="shared" si="0"/>
        <v>4</v>
      </c>
      <c r="I9" s="22">
        <f t="shared" si="0"/>
        <v>4</v>
      </c>
      <c r="J9" s="22">
        <f t="shared" si="0"/>
        <v>4</v>
      </c>
      <c r="K9" s="22">
        <f t="shared" si="0"/>
        <v>4</v>
      </c>
      <c r="L9" s="22">
        <f t="shared" si="0"/>
        <v>4</v>
      </c>
      <c r="M9" s="22">
        <f t="shared" si="0"/>
        <v>4</v>
      </c>
      <c r="N9" s="22">
        <f t="shared" si="0"/>
        <v>6</v>
      </c>
      <c r="O9" s="22">
        <f t="shared" si="0"/>
        <v>6</v>
      </c>
      <c r="P9" s="22">
        <f t="shared" si="0"/>
        <v>6</v>
      </c>
      <c r="Q9" s="22">
        <f t="shared" si="0"/>
        <v>4</v>
      </c>
      <c r="R9" s="22">
        <f t="shared" si="0"/>
        <v>4</v>
      </c>
      <c r="S9" s="22">
        <f t="shared" si="0"/>
        <v>4</v>
      </c>
      <c r="T9" s="22">
        <f t="shared" si="0"/>
        <v>4</v>
      </c>
      <c r="U9" s="22">
        <f t="shared" si="0"/>
        <v>4</v>
      </c>
      <c r="V9" s="22">
        <f t="shared" si="0"/>
        <v>4</v>
      </c>
      <c r="W9" s="22">
        <f t="shared" si="0"/>
        <v>4</v>
      </c>
      <c r="X9" s="22">
        <f t="shared" si="0"/>
        <v>4</v>
      </c>
      <c r="Y9" s="22">
        <f t="shared" si="0"/>
        <v>4</v>
      </c>
      <c r="Z9" s="22">
        <f t="shared" si="0"/>
        <v>6</v>
      </c>
      <c r="AA9" s="22">
        <f t="shared" si="0"/>
        <v>6</v>
      </c>
      <c r="AB9" s="22">
        <f t="shared" si="0"/>
        <v>4</v>
      </c>
      <c r="AC9" s="22">
        <f t="shared" si="0"/>
        <v>4</v>
      </c>
      <c r="AD9" s="22">
        <f t="shared" si="0"/>
        <v>4</v>
      </c>
      <c r="AE9" s="22">
        <f t="shared" si="0"/>
        <v>4</v>
      </c>
      <c r="AF9" s="22">
        <f t="shared" si="0"/>
        <v>4</v>
      </c>
      <c r="AG9" s="22">
        <f t="shared" si="0"/>
        <v>4</v>
      </c>
      <c r="AH9" s="22">
        <f t="shared" si="0"/>
        <v>4</v>
      </c>
      <c r="AI9" s="22">
        <f t="shared" si="0"/>
        <v>4</v>
      </c>
      <c r="AJ9" s="22">
        <f t="shared" si="0"/>
        <v>4</v>
      </c>
      <c r="AK9" s="22">
        <f t="shared" si="0"/>
        <v>6</v>
      </c>
      <c r="AL9" s="22">
        <f t="shared" si="0"/>
        <v>6</v>
      </c>
      <c r="AM9" s="22">
        <f t="shared" si="0"/>
        <v>6</v>
      </c>
      <c r="AN9" s="22">
        <f t="shared" si="0"/>
        <v>6</v>
      </c>
      <c r="AO9" s="22">
        <f t="shared" si="0"/>
        <v>4</v>
      </c>
      <c r="AP9" s="22">
        <f t="shared" si="0"/>
        <v>4</v>
      </c>
      <c r="AQ9" s="22">
        <f t="shared" si="0"/>
        <v>4</v>
      </c>
      <c r="AR9" s="22">
        <f t="shared" si="0"/>
        <v>6</v>
      </c>
      <c r="AS9" s="22">
        <f t="shared" si="0"/>
        <v>6</v>
      </c>
      <c r="AT9" s="22">
        <f t="shared" si="0"/>
        <v>6</v>
      </c>
      <c r="AU9" s="22">
        <f t="shared" si="0"/>
        <v>6</v>
      </c>
      <c r="AV9" s="22">
        <f t="shared" si="0"/>
        <v>6</v>
      </c>
      <c r="AW9" s="23">
        <f t="shared" si="0"/>
        <v>6</v>
      </c>
    </row>
    <row r="10" spans="1:49" ht="15.75" thickBot="1" x14ac:dyDescent="0.3">
      <c r="A10" s="35" t="s">
        <v>18</v>
      </c>
      <c r="B10" s="24">
        <f>SUM(COUNTIF(B3:B8,"=Acar*"))</f>
        <v>0</v>
      </c>
      <c r="C10" s="24">
        <f t="shared" ref="C10:AW10" si="1">SUM(COUNTIF(C3:C8,"=Acar*"))</f>
        <v>0</v>
      </c>
      <c r="D10" s="24">
        <f t="shared" si="1"/>
        <v>0</v>
      </c>
      <c r="E10" s="24">
        <f t="shared" si="1"/>
        <v>0</v>
      </c>
      <c r="F10" s="24">
        <f t="shared" si="1"/>
        <v>0</v>
      </c>
      <c r="G10" s="24">
        <f t="shared" si="1"/>
        <v>0</v>
      </c>
      <c r="H10" s="24">
        <f t="shared" si="1"/>
        <v>0</v>
      </c>
      <c r="I10" s="24">
        <f t="shared" si="1"/>
        <v>0</v>
      </c>
      <c r="J10" s="24">
        <f t="shared" si="1"/>
        <v>0</v>
      </c>
      <c r="K10" s="24">
        <f t="shared" si="1"/>
        <v>0</v>
      </c>
      <c r="L10" s="24">
        <f t="shared" si="1"/>
        <v>0</v>
      </c>
      <c r="M10" s="24">
        <f t="shared" si="1"/>
        <v>0</v>
      </c>
      <c r="N10" s="24">
        <f t="shared" si="1"/>
        <v>0</v>
      </c>
      <c r="O10" s="24">
        <f t="shared" si="1"/>
        <v>0</v>
      </c>
      <c r="P10" s="24">
        <f t="shared" si="1"/>
        <v>0</v>
      </c>
      <c r="Q10" s="24">
        <f t="shared" si="1"/>
        <v>0</v>
      </c>
      <c r="R10" s="24">
        <f t="shared" si="1"/>
        <v>0</v>
      </c>
      <c r="S10" s="24">
        <f t="shared" si="1"/>
        <v>0</v>
      </c>
      <c r="T10" s="24">
        <f t="shared" si="1"/>
        <v>0</v>
      </c>
      <c r="U10" s="24">
        <f t="shared" si="1"/>
        <v>0</v>
      </c>
      <c r="V10" s="24">
        <f t="shared" si="1"/>
        <v>0</v>
      </c>
      <c r="W10" s="24">
        <f t="shared" si="1"/>
        <v>0</v>
      </c>
      <c r="X10" s="24">
        <f t="shared" si="1"/>
        <v>0</v>
      </c>
      <c r="Y10" s="24">
        <f t="shared" si="1"/>
        <v>0</v>
      </c>
      <c r="Z10" s="24">
        <f t="shared" si="1"/>
        <v>0</v>
      </c>
      <c r="AA10" s="24">
        <f t="shared" si="1"/>
        <v>0</v>
      </c>
      <c r="AB10" s="24">
        <f t="shared" si="1"/>
        <v>0</v>
      </c>
      <c r="AC10" s="24">
        <f t="shared" si="1"/>
        <v>0</v>
      </c>
      <c r="AD10" s="24">
        <f t="shared" si="1"/>
        <v>0</v>
      </c>
      <c r="AE10" s="24">
        <f t="shared" si="1"/>
        <v>0</v>
      </c>
      <c r="AF10" s="24">
        <f t="shared" si="1"/>
        <v>0</v>
      </c>
      <c r="AG10" s="24">
        <f t="shared" si="1"/>
        <v>0</v>
      </c>
      <c r="AH10" s="24">
        <f t="shared" si="1"/>
        <v>0</v>
      </c>
      <c r="AI10" s="24">
        <f t="shared" si="1"/>
        <v>0</v>
      </c>
      <c r="AJ10" s="24">
        <f t="shared" si="1"/>
        <v>0</v>
      </c>
      <c r="AK10" s="24">
        <f t="shared" si="1"/>
        <v>0</v>
      </c>
      <c r="AL10" s="24">
        <f t="shared" si="1"/>
        <v>0</v>
      </c>
      <c r="AM10" s="24">
        <f t="shared" si="1"/>
        <v>0</v>
      </c>
      <c r="AN10" s="24">
        <f t="shared" si="1"/>
        <v>0</v>
      </c>
      <c r="AO10" s="24">
        <f t="shared" si="1"/>
        <v>0</v>
      </c>
      <c r="AP10" s="24">
        <f t="shared" si="1"/>
        <v>0</v>
      </c>
      <c r="AQ10" s="24">
        <f t="shared" si="1"/>
        <v>0</v>
      </c>
      <c r="AR10" s="24">
        <f t="shared" si="1"/>
        <v>0</v>
      </c>
      <c r="AS10" s="24">
        <f t="shared" si="1"/>
        <v>0</v>
      </c>
      <c r="AT10" s="24">
        <f t="shared" si="1"/>
        <v>0</v>
      </c>
      <c r="AU10" s="24">
        <f t="shared" si="1"/>
        <v>0</v>
      </c>
      <c r="AV10" s="24">
        <f t="shared" si="1"/>
        <v>0</v>
      </c>
      <c r="AW10" s="25">
        <f t="shared" si="1"/>
        <v>0</v>
      </c>
    </row>
    <row r="11" spans="1:49" ht="15.75" thickBot="1" x14ac:dyDescent="0.3">
      <c r="A11" s="35" t="s">
        <v>2</v>
      </c>
      <c r="B11" s="22" t="str">
        <f>IF(B10=0, CONCATENATE(B9), CONCATENATE(B9, ",",B10))</f>
        <v>6</v>
      </c>
      <c r="C11" s="22" t="str">
        <f t="shared" ref="C11:AW11" si="2">IF(C10=0, CONCATENATE(C9), CONCATENATE(C9, ",",C10))</f>
        <v>6</v>
      </c>
      <c r="D11" s="22" t="str">
        <f t="shared" si="2"/>
        <v>6</v>
      </c>
      <c r="E11" s="22" t="str">
        <f t="shared" si="2"/>
        <v>6</v>
      </c>
      <c r="F11" s="22" t="str">
        <f t="shared" si="2"/>
        <v>6</v>
      </c>
      <c r="G11" s="22" t="str">
        <f t="shared" si="2"/>
        <v>6</v>
      </c>
      <c r="H11" s="22" t="str">
        <f t="shared" si="2"/>
        <v>4</v>
      </c>
      <c r="I11" s="22" t="str">
        <f t="shared" si="2"/>
        <v>4</v>
      </c>
      <c r="J11" s="22" t="str">
        <f t="shared" si="2"/>
        <v>4</v>
      </c>
      <c r="K11" s="22" t="str">
        <f t="shared" si="2"/>
        <v>4</v>
      </c>
      <c r="L11" s="22" t="str">
        <f t="shared" si="2"/>
        <v>4</v>
      </c>
      <c r="M11" s="22" t="str">
        <f t="shared" si="2"/>
        <v>4</v>
      </c>
      <c r="N11" s="22" t="str">
        <f t="shared" si="2"/>
        <v>6</v>
      </c>
      <c r="O11" s="22" t="str">
        <f t="shared" si="2"/>
        <v>6</v>
      </c>
      <c r="P11" s="22" t="str">
        <f t="shared" si="2"/>
        <v>6</v>
      </c>
      <c r="Q11" s="22" t="str">
        <f t="shared" si="2"/>
        <v>4</v>
      </c>
      <c r="R11" s="22" t="str">
        <f t="shared" si="2"/>
        <v>4</v>
      </c>
      <c r="S11" s="22" t="str">
        <f t="shared" si="2"/>
        <v>4</v>
      </c>
      <c r="T11" s="22" t="str">
        <f t="shared" si="2"/>
        <v>4</v>
      </c>
      <c r="U11" s="22" t="str">
        <f t="shared" si="2"/>
        <v>4</v>
      </c>
      <c r="V11" s="22" t="str">
        <f t="shared" si="2"/>
        <v>4</v>
      </c>
      <c r="W11" s="22" t="str">
        <f t="shared" si="2"/>
        <v>4</v>
      </c>
      <c r="X11" s="22" t="str">
        <f t="shared" si="2"/>
        <v>4</v>
      </c>
      <c r="Y11" s="22" t="str">
        <f t="shared" si="2"/>
        <v>4</v>
      </c>
      <c r="Z11" s="22" t="str">
        <f t="shared" si="2"/>
        <v>6</v>
      </c>
      <c r="AA11" s="22" t="str">
        <f t="shared" si="2"/>
        <v>6</v>
      </c>
      <c r="AB11" s="22" t="str">
        <f t="shared" si="2"/>
        <v>4</v>
      </c>
      <c r="AC11" s="22" t="str">
        <f t="shared" si="2"/>
        <v>4</v>
      </c>
      <c r="AD11" s="22" t="str">
        <f t="shared" si="2"/>
        <v>4</v>
      </c>
      <c r="AE11" s="22" t="str">
        <f t="shared" si="2"/>
        <v>4</v>
      </c>
      <c r="AF11" s="22" t="str">
        <f t="shared" si="2"/>
        <v>4</v>
      </c>
      <c r="AG11" s="22" t="str">
        <f t="shared" si="2"/>
        <v>4</v>
      </c>
      <c r="AH11" s="22" t="str">
        <f t="shared" si="2"/>
        <v>4</v>
      </c>
      <c r="AI11" s="22" t="str">
        <f t="shared" si="2"/>
        <v>4</v>
      </c>
      <c r="AJ11" s="22" t="str">
        <f t="shared" si="2"/>
        <v>4</v>
      </c>
      <c r="AK11" s="22" t="str">
        <f t="shared" si="2"/>
        <v>6</v>
      </c>
      <c r="AL11" s="22" t="str">
        <f t="shared" si="2"/>
        <v>6</v>
      </c>
      <c r="AM11" s="22" t="str">
        <f t="shared" si="2"/>
        <v>6</v>
      </c>
      <c r="AN11" s="22" t="str">
        <f t="shared" si="2"/>
        <v>6</v>
      </c>
      <c r="AO11" s="22" t="str">
        <f t="shared" si="2"/>
        <v>4</v>
      </c>
      <c r="AP11" s="22" t="str">
        <f t="shared" si="2"/>
        <v>4</v>
      </c>
      <c r="AQ11" s="22" t="str">
        <f t="shared" si="2"/>
        <v>4</v>
      </c>
      <c r="AR11" s="22" t="str">
        <f t="shared" si="2"/>
        <v>6</v>
      </c>
      <c r="AS11" s="22" t="str">
        <f t="shared" si="2"/>
        <v>6</v>
      </c>
      <c r="AT11" s="22" t="str">
        <f t="shared" si="2"/>
        <v>6</v>
      </c>
      <c r="AU11" s="22" t="str">
        <f t="shared" si="2"/>
        <v>6</v>
      </c>
      <c r="AV11" s="22" t="str">
        <f t="shared" si="2"/>
        <v>6</v>
      </c>
      <c r="AW11" s="23" t="str">
        <f t="shared" si="2"/>
        <v>6</v>
      </c>
    </row>
    <row r="12" spans="1:49" ht="15.75" thickBot="1" x14ac:dyDescent="0.3">
      <c r="A12" s="44" t="s">
        <v>4</v>
      </c>
      <c r="B12" s="45"/>
      <c r="C12" s="45"/>
      <c r="D12" s="45"/>
      <c r="E12" s="45"/>
      <c r="F12" s="45"/>
      <c r="G12" s="45"/>
      <c r="H12" s="45"/>
      <c r="I12" s="45"/>
      <c r="J12" s="45"/>
      <c r="K12" s="45"/>
      <c r="L12" s="45"/>
      <c r="M12" s="45"/>
      <c r="N12" s="45"/>
      <c r="O12" s="45"/>
      <c r="P12" s="45"/>
      <c r="Q12" s="45"/>
      <c r="R12" s="45"/>
      <c r="S12" s="45"/>
      <c r="T12" s="45"/>
      <c r="U12" s="45"/>
      <c r="V12" s="45"/>
      <c r="W12" s="45"/>
      <c r="X12" s="45"/>
      <c r="Y12" s="45"/>
      <c r="Z12" s="45"/>
      <c r="AA12" s="45"/>
      <c r="AB12" s="45"/>
      <c r="AC12" s="45"/>
      <c r="AD12" s="45"/>
      <c r="AE12" s="45"/>
      <c r="AF12" s="45"/>
      <c r="AG12" s="45"/>
      <c r="AH12" s="45"/>
      <c r="AI12" s="45"/>
      <c r="AJ12" s="45"/>
      <c r="AK12" s="45"/>
      <c r="AL12" s="45"/>
      <c r="AM12" s="45"/>
      <c r="AN12" s="45"/>
      <c r="AO12" s="45"/>
      <c r="AP12" s="45"/>
      <c r="AQ12" s="45"/>
      <c r="AR12" s="45"/>
      <c r="AS12" s="45"/>
      <c r="AT12" s="45"/>
      <c r="AU12" s="45"/>
      <c r="AV12" s="45"/>
      <c r="AW12" s="46"/>
    </row>
    <row r="13" spans="1:49" ht="15.75" thickBot="1" x14ac:dyDescent="0.3">
      <c r="A13" s="7" t="s">
        <v>6</v>
      </c>
      <c r="B13" s="10"/>
      <c r="C13" s="11"/>
      <c r="D13" s="11"/>
      <c r="E13" s="11"/>
      <c r="F13" s="11"/>
      <c r="G13" s="11"/>
      <c r="H13" s="11" t="s">
        <v>22</v>
      </c>
      <c r="I13" s="11" t="s">
        <v>22</v>
      </c>
      <c r="J13" s="11" t="s">
        <v>24</v>
      </c>
      <c r="K13" s="11" t="s">
        <v>24</v>
      </c>
      <c r="L13" s="11" t="s">
        <v>26</v>
      </c>
      <c r="M13" s="11" t="s">
        <v>26</v>
      </c>
      <c r="N13" s="11"/>
      <c r="O13" s="11"/>
      <c r="P13" s="11"/>
      <c r="Q13" s="11" t="s">
        <v>22</v>
      </c>
      <c r="R13" s="11" t="s">
        <v>22</v>
      </c>
      <c r="S13" s="11" t="s">
        <v>22</v>
      </c>
      <c r="T13" s="11" t="s">
        <v>24</v>
      </c>
      <c r="U13" s="11" t="s">
        <v>24</v>
      </c>
      <c r="V13" s="11" t="s">
        <v>24</v>
      </c>
      <c r="W13" s="11" t="s">
        <v>26</v>
      </c>
      <c r="X13" s="11" t="s">
        <v>26</v>
      </c>
      <c r="Y13" s="11" t="s">
        <v>26</v>
      </c>
      <c r="Z13" s="11"/>
      <c r="AA13" s="11"/>
      <c r="AB13" s="11" t="s">
        <v>22</v>
      </c>
      <c r="AC13" s="11" t="s">
        <v>22</v>
      </c>
      <c r="AD13" s="11" t="s">
        <v>22</v>
      </c>
      <c r="AE13" s="11" t="s">
        <v>24</v>
      </c>
      <c r="AF13" s="11" t="s">
        <v>24</v>
      </c>
      <c r="AG13" s="11" t="s">
        <v>24</v>
      </c>
      <c r="AH13" s="11" t="s">
        <v>26</v>
      </c>
      <c r="AI13" s="11" t="s">
        <v>26</v>
      </c>
      <c r="AJ13" s="11" t="s">
        <v>26</v>
      </c>
      <c r="AK13" s="11"/>
      <c r="AL13" s="11"/>
      <c r="AM13" s="11"/>
      <c r="AN13" s="11"/>
      <c r="AO13" s="11" t="s">
        <v>22</v>
      </c>
      <c r="AP13" s="11" t="s">
        <v>24</v>
      </c>
      <c r="AQ13" s="11" t="s">
        <v>26</v>
      </c>
      <c r="AR13" s="11"/>
      <c r="AS13" s="11"/>
      <c r="AT13" s="11"/>
      <c r="AU13" s="11"/>
      <c r="AV13" s="11"/>
      <c r="AW13" s="12"/>
    </row>
    <row r="14" spans="1:49" x14ac:dyDescent="0.25">
      <c r="A14" s="7" t="s">
        <v>6</v>
      </c>
      <c r="B14" s="13"/>
      <c r="C14" s="40"/>
      <c r="D14" s="40"/>
      <c r="E14" s="40"/>
      <c r="F14" s="40"/>
      <c r="G14" s="40"/>
      <c r="H14" s="40" t="s">
        <v>23</v>
      </c>
      <c r="I14" s="40" t="s">
        <v>23</v>
      </c>
      <c r="J14" s="40" t="s">
        <v>25</v>
      </c>
      <c r="K14" s="40" t="s">
        <v>25</v>
      </c>
      <c r="L14" s="40" t="s">
        <v>27</v>
      </c>
      <c r="M14" s="40" t="s">
        <v>27</v>
      </c>
      <c r="N14" s="40"/>
      <c r="O14" s="40"/>
      <c r="P14" s="40"/>
      <c r="Q14" s="40" t="s">
        <v>23</v>
      </c>
      <c r="R14" s="40" t="s">
        <v>23</v>
      </c>
      <c r="S14" s="40" t="s">
        <v>23</v>
      </c>
      <c r="T14" s="40" t="s">
        <v>25</v>
      </c>
      <c r="U14" s="40" t="s">
        <v>25</v>
      </c>
      <c r="V14" s="40" t="s">
        <v>25</v>
      </c>
      <c r="W14" s="40" t="s">
        <v>27</v>
      </c>
      <c r="X14" s="40" t="s">
        <v>27</v>
      </c>
      <c r="Y14" s="40" t="s">
        <v>27</v>
      </c>
      <c r="Z14" s="40"/>
      <c r="AA14" s="40"/>
      <c r="AB14" s="40" t="s">
        <v>23</v>
      </c>
      <c r="AC14" s="40" t="s">
        <v>23</v>
      </c>
      <c r="AD14" s="40" t="s">
        <v>23</v>
      </c>
      <c r="AE14" s="40" t="s">
        <v>25</v>
      </c>
      <c r="AF14" s="40" t="s">
        <v>25</v>
      </c>
      <c r="AG14" s="40" t="s">
        <v>25</v>
      </c>
      <c r="AH14" s="40" t="s">
        <v>27</v>
      </c>
      <c r="AI14" s="40" t="s">
        <v>27</v>
      </c>
      <c r="AJ14" s="40" t="s">
        <v>27</v>
      </c>
      <c r="AK14" s="40"/>
      <c r="AL14" s="40"/>
      <c r="AM14" s="40"/>
      <c r="AN14" s="40"/>
      <c r="AO14" s="40" t="s">
        <v>23</v>
      </c>
      <c r="AP14" s="40" t="s">
        <v>25</v>
      </c>
      <c r="AQ14" s="40" t="s">
        <v>27</v>
      </c>
      <c r="AR14" s="40"/>
      <c r="AS14" s="40"/>
      <c r="AT14" s="40"/>
      <c r="AU14" s="40"/>
      <c r="AV14" s="40"/>
      <c r="AW14" s="14"/>
    </row>
    <row r="15" spans="1:49" x14ac:dyDescent="0.25">
      <c r="A15" s="8"/>
      <c r="B15" s="13"/>
      <c r="C15" s="40"/>
      <c r="D15" s="40"/>
      <c r="E15" s="40"/>
      <c r="F15" s="40"/>
      <c r="G15" s="40"/>
      <c r="H15" s="40"/>
      <c r="I15" s="40"/>
      <c r="J15" s="40"/>
      <c r="K15" s="40"/>
      <c r="L15" s="40"/>
      <c r="M15" s="40"/>
      <c r="N15" s="40"/>
      <c r="O15" s="40"/>
      <c r="P15" s="40"/>
      <c r="Q15" s="40"/>
      <c r="R15" s="40"/>
      <c r="S15" s="40"/>
      <c r="T15" s="40"/>
      <c r="U15" s="40"/>
      <c r="V15" s="40"/>
      <c r="W15" s="40"/>
      <c r="X15" s="40"/>
      <c r="Y15" s="40"/>
      <c r="Z15" s="40"/>
      <c r="AA15" s="40"/>
      <c r="AB15" s="40"/>
      <c r="AC15" s="40"/>
      <c r="AD15" s="40"/>
      <c r="AE15" s="40"/>
      <c r="AF15" s="40"/>
      <c r="AG15" s="40"/>
      <c r="AH15" s="40"/>
      <c r="AI15" s="40"/>
      <c r="AJ15" s="40"/>
      <c r="AK15" s="40"/>
      <c r="AL15" s="40"/>
      <c r="AM15" s="40"/>
      <c r="AN15" s="40"/>
      <c r="AO15" s="40"/>
      <c r="AP15" s="40"/>
      <c r="AQ15" s="40"/>
      <c r="AR15" s="40"/>
      <c r="AS15" s="40"/>
      <c r="AT15" s="40"/>
      <c r="AU15" s="40"/>
      <c r="AV15" s="40"/>
      <c r="AW15" s="14"/>
    </row>
    <row r="16" spans="1:49" x14ac:dyDescent="0.25">
      <c r="A16" s="8"/>
      <c r="B16" s="13"/>
      <c r="C16" s="40"/>
      <c r="D16" s="40"/>
      <c r="E16" s="40"/>
      <c r="F16" s="40"/>
      <c r="G16" s="40"/>
      <c r="H16" s="40"/>
      <c r="I16" s="40"/>
      <c r="J16" s="40"/>
      <c r="K16" s="40"/>
      <c r="L16" s="40"/>
      <c r="M16" s="40"/>
      <c r="N16" s="40"/>
      <c r="O16" s="40"/>
      <c r="P16" s="40"/>
      <c r="Q16" s="40"/>
      <c r="R16" s="40"/>
      <c r="S16" s="40"/>
      <c r="T16" s="40"/>
      <c r="U16" s="40"/>
      <c r="V16" s="40"/>
      <c r="W16" s="40"/>
      <c r="X16" s="40"/>
      <c r="Y16" s="40"/>
      <c r="Z16" s="40"/>
      <c r="AA16" s="40"/>
      <c r="AB16" s="40"/>
      <c r="AC16" s="40"/>
      <c r="AD16" s="40"/>
      <c r="AE16" s="40"/>
      <c r="AF16" s="40"/>
      <c r="AG16" s="40"/>
      <c r="AH16" s="40"/>
      <c r="AI16" s="40"/>
      <c r="AJ16" s="40"/>
      <c r="AK16" s="40"/>
      <c r="AL16" s="40"/>
      <c r="AM16" s="40"/>
      <c r="AN16" s="40"/>
      <c r="AO16" s="40"/>
      <c r="AP16" s="40"/>
      <c r="AQ16" s="40"/>
      <c r="AR16" s="40"/>
      <c r="AS16" s="40"/>
      <c r="AT16" s="40"/>
      <c r="AU16" s="40"/>
      <c r="AV16" s="40"/>
      <c r="AW16" s="14"/>
    </row>
    <row r="17" spans="1:49" x14ac:dyDescent="0.25">
      <c r="A17" s="8"/>
      <c r="B17" s="13"/>
      <c r="C17" s="40"/>
      <c r="D17" s="40"/>
      <c r="E17" s="40"/>
      <c r="F17" s="40"/>
      <c r="G17" s="40"/>
      <c r="H17" s="40"/>
      <c r="I17" s="40"/>
      <c r="J17" s="40"/>
      <c r="K17" s="40"/>
      <c r="L17" s="40"/>
      <c r="M17" s="40"/>
      <c r="N17" s="40"/>
      <c r="O17" s="40"/>
      <c r="P17" s="40"/>
      <c r="Q17" s="40"/>
      <c r="R17" s="40"/>
      <c r="S17" s="40"/>
      <c r="T17" s="40"/>
      <c r="U17" s="40"/>
      <c r="V17" s="40"/>
      <c r="W17" s="40"/>
      <c r="X17" s="40"/>
      <c r="Y17" s="40"/>
      <c r="Z17" s="40"/>
      <c r="AA17" s="40"/>
      <c r="AB17" s="40"/>
      <c r="AC17" s="40"/>
      <c r="AD17" s="40"/>
      <c r="AE17" s="40"/>
      <c r="AF17" s="40"/>
      <c r="AG17" s="40"/>
      <c r="AH17" s="40"/>
      <c r="AI17" s="40"/>
      <c r="AJ17" s="40"/>
      <c r="AK17" s="40"/>
      <c r="AL17" s="40"/>
      <c r="AM17" s="40"/>
      <c r="AN17" s="40"/>
      <c r="AO17" s="40"/>
      <c r="AP17" s="40"/>
      <c r="AQ17" s="40"/>
      <c r="AR17" s="40"/>
      <c r="AS17" s="40"/>
      <c r="AT17" s="40"/>
      <c r="AU17" s="40"/>
      <c r="AV17" s="40"/>
      <c r="AW17" s="14"/>
    </row>
    <row r="18" spans="1:49" ht="15.75" thickBot="1" x14ac:dyDescent="0.3">
      <c r="A18" s="9"/>
      <c r="B18" s="15"/>
      <c r="C18" s="16"/>
      <c r="D18" s="16"/>
      <c r="E18" s="16"/>
      <c r="F18" s="16"/>
      <c r="G18" s="16"/>
      <c r="H18" s="16"/>
      <c r="I18" s="16"/>
      <c r="J18" s="16"/>
      <c r="K18" s="16"/>
      <c r="L18" s="16"/>
      <c r="M18" s="16"/>
      <c r="N18" s="16"/>
      <c r="O18" s="16"/>
      <c r="P18" s="16"/>
      <c r="Q18" s="16"/>
      <c r="R18" s="16"/>
      <c r="S18" s="16"/>
      <c r="T18" s="16"/>
      <c r="U18" s="16"/>
      <c r="V18" s="16"/>
      <c r="W18" s="16"/>
      <c r="X18" s="16"/>
      <c r="Y18" s="16"/>
      <c r="Z18" s="16"/>
      <c r="AA18" s="16"/>
      <c r="AB18" s="16"/>
      <c r="AC18" s="16"/>
      <c r="AD18" s="16"/>
      <c r="AE18" s="16"/>
      <c r="AF18" s="16"/>
      <c r="AG18" s="16"/>
      <c r="AH18" s="16"/>
      <c r="AI18" s="16"/>
      <c r="AJ18" s="16"/>
      <c r="AK18" s="16"/>
      <c r="AL18" s="16"/>
      <c r="AM18" s="16"/>
      <c r="AN18" s="16"/>
      <c r="AO18" s="16"/>
      <c r="AP18" s="16"/>
      <c r="AQ18" s="16"/>
      <c r="AR18" s="16"/>
      <c r="AS18" s="16"/>
      <c r="AT18" s="16"/>
      <c r="AU18" s="16"/>
      <c r="AV18" s="16"/>
      <c r="AW18" s="17"/>
    </row>
    <row r="19" spans="1:49" ht="15.75" thickBot="1" x14ac:dyDescent="0.3">
      <c r="A19" s="35" t="s">
        <v>17</v>
      </c>
      <c r="B19" s="24">
        <f>SUM(COUNTIF(B13:B18,"=AL*"))</f>
        <v>0</v>
      </c>
      <c r="C19" s="24">
        <f t="shared" ref="C19:AW19" si="3">SUM(COUNTIF(C13:C18,"=AL*"))</f>
        <v>0</v>
      </c>
      <c r="D19" s="24">
        <f t="shared" si="3"/>
        <v>0</v>
      </c>
      <c r="E19" s="24">
        <f t="shared" si="3"/>
        <v>0</v>
      </c>
      <c r="F19" s="24">
        <f t="shared" si="3"/>
        <v>0</v>
      </c>
      <c r="G19" s="24">
        <f t="shared" si="3"/>
        <v>0</v>
      </c>
      <c r="H19" s="24">
        <f t="shared" si="3"/>
        <v>2</v>
      </c>
      <c r="I19" s="24">
        <f t="shared" si="3"/>
        <v>2</v>
      </c>
      <c r="J19" s="24">
        <f t="shared" si="3"/>
        <v>2</v>
      </c>
      <c r="K19" s="24">
        <f t="shared" si="3"/>
        <v>2</v>
      </c>
      <c r="L19" s="24">
        <f t="shared" si="3"/>
        <v>2</v>
      </c>
      <c r="M19" s="24">
        <f t="shared" si="3"/>
        <v>2</v>
      </c>
      <c r="N19" s="24">
        <f t="shared" si="3"/>
        <v>0</v>
      </c>
      <c r="O19" s="24">
        <f t="shared" si="3"/>
        <v>0</v>
      </c>
      <c r="P19" s="24">
        <f t="shared" si="3"/>
        <v>0</v>
      </c>
      <c r="Q19" s="24">
        <f t="shared" si="3"/>
        <v>2</v>
      </c>
      <c r="R19" s="24">
        <f t="shared" si="3"/>
        <v>2</v>
      </c>
      <c r="S19" s="24">
        <f t="shared" si="3"/>
        <v>2</v>
      </c>
      <c r="T19" s="24">
        <f t="shared" si="3"/>
        <v>2</v>
      </c>
      <c r="U19" s="24">
        <f t="shared" si="3"/>
        <v>2</v>
      </c>
      <c r="V19" s="24">
        <f t="shared" si="3"/>
        <v>2</v>
      </c>
      <c r="W19" s="24">
        <f t="shared" si="3"/>
        <v>2</v>
      </c>
      <c r="X19" s="24">
        <f t="shared" si="3"/>
        <v>2</v>
      </c>
      <c r="Y19" s="24">
        <f t="shared" si="3"/>
        <v>2</v>
      </c>
      <c r="Z19" s="24">
        <f t="shared" si="3"/>
        <v>0</v>
      </c>
      <c r="AA19" s="24">
        <f t="shared" si="3"/>
        <v>0</v>
      </c>
      <c r="AB19" s="24">
        <f t="shared" si="3"/>
        <v>2</v>
      </c>
      <c r="AC19" s="24">
        <f t="shared" si="3"/>
        <v>2</v>
      </c>
      <c r="AD19" s="24">
        <f t="shared" si="3"/>
        <v>2</v>
      </c>
      <c r="AE19" s="24">
        <f t="shared" si="3"/>
        <v>2</v>
      </c>
      <c r="AF19" s="24">
        <f t="shared" si="3"/>
        <v>2</v>
      </c>
      <c r="AG19" s="24">
        <f t="shared" si="3"/>
        <v>2</v>
      </c>
      <c r="AH19" s="24">
        <f t="shared" si="3"/>
        <v>2</v>
      </c>
      <c r="AI19" s="24">
        <f t="shared" si="3"/>
        <v>2</v>
      </c>
      <c r="AJ19" s="24">
        <f t="shared" si="3"/>
        <v>2</v>
      </c>
      <c r="AK19" s="24">
        <f t="shared" si="3"/>
        <v>0</v>
      </c>
      <c r="AL19" s="24">
        <f t="shared" si="3"/>
        <v>0</v>
      </c>
      <c r="AM19" s="24">
        <f t="shared" si="3"/>
        <v>0</v>
      </c>
      <c r="AN19" s="24">
        <f t="shared" si="3"/>
        <v>0</v>
      </c>
      <c r="AO19" s="24">
        <f t="shared" si="3"/>
        <v>2</v>
      </c>
      <c r="AP19" s="24">
        <f t="shared" si="3"/>
        <v>2</v>
      </c>
      <c r="AQ19" s="24">
        <f t="shared" si="3"/>
        <v>2</v>
      </c>
      <c r="AR19" s="24">
        <f t="shared" si="3"/>
        <v>0</v>
      </c>
      <c r="AS19" s="24">
        <f t="shared" si="3"/>
        <v>0</v>
      </c>
      <c r="AT19" s="24">
        <f t="shared" si="3"/>
        <v>0</v>
      </c>
      <c r="AU19" s="24">
        <f t="shared" si="3"/>
        <v>0</v>
      </c>
      <c r="AV19" s="24">
        <f t="shared" si="3"/>
        <v>0</v>
      </c>
      <c r="AW19" s="25">
        <f t="shared" si="3"/>
        <v>0</v>
      </c>
    </row>
    <row r="20" spans="1:49" ht="15.75" thickBot="1" x14ac:dyDescent="0.3">
      <c r="A20" s="35" t="s">
        <v>18</v>
      </c>
      <c r="B20" s="24">
        <f>SUM(COUNTIF(B13:B18,"=Acar*"))</f>
        <v>0</v>
      </c>
      <c r="C20" s="24">
        <f t="shared" ref="C20:AW20" si="4">SUM(COUNTIF(C13:C18,"=Acar*"))</f>
        <v>0</v>
      </c>
      <c r="D20" s="24">
        <f t="shared" si="4"/>
        <v>0</v>
      </c>
      <c r="E20" s="24">
        <f t="shared" si="4"/>
        <v>0</v>
      </c>
      <c r="F20" s="24">
        <f t="shared" si="4"/>
        <v>0</v>
      </c>
      <c r="G20" s="24">
        <f t="shared" si="4"/>
        <v>0</v>
      </c>
      <c r="H20" s="24">
        <f t="shared" si="4"/>
        <v>0</v>
      </c>
      <c r="I20" s="24">
        <f t="shared" si="4"/>
        <v>0</v>
      </c>
      <c r="J20" s="24">
        <f t="shared" si="4"/>
        <v>0</v>
      </c>
      <c r="K20" s="24">
        <f t="shared" si="4"/>
        <v>0</v>
      </c>
      <c r="L20" s="24">
        <f t="shared" si="4"/>
        <v>0</v>
      </c>
      <c r="M20" s="24">
        <f t="shared" si="4"/>
        <v>0</v>
      </c>
      <c r="N20" s="24">
        <f t="shared" si="4"/>
        <v>0</v>
      </c>
      <c r="O20" s="24">
        <f t="shared" si="4"/>
        <v>0</v>
      </c>
      <c r="P20" s="24">
        <f t="shared" si="4"/>
        <v>0</v>
      </c>
      <c r="Q20" s="24">
        <f t="shared" si="4"/>
        <v>0</v>
      </c>
      <c r="R20" s="24">
        <f t="shared" si="4"/>
        <v>0</v>
      </c>
      <c r="S20" s="24">
        <f t="shared" si="4"/>
        <v>0</v>
      </c>
      <c r="T20" s="24">
        <f t="shared" si="4"/>
        <v>0</v>
      </c>
      <c r="U20" s="24">
        <f t="shared" si="4"/>
        <v>0</v>
      </c>
      <c r="V20" s="24">
        <f t="shared" si="4"/>
        <v>0</v>
      </c>
      <c r="W20" s="24">
        <f t="shared" si="4"/>
        <v>0</v>
      </c>
      <c r="X20" s="24">
        <f t="shared" si="4"/>
        <v>0</v>
      </c>
      <c r="Y20" s="24">
        <f t="shared" si="4"/>
        <v>0</v>
      </c>
      <c r="Z20" s="24">
        <f t="shared" si="4"/>
        <v>0</v>
      </c>
      <c r="AA20" s="24">
        <f t="shared" si="4"/>
        <v>0</v>
      </c>
      <c r="AB20" s="24">
        <f t="shared" si="4"/>
        <v>0</v>
      </c>
      <c r="AC20" s="24">
        <f t="shared" si="4"/>
        <v>0</v>
      </c>
      <c r="AD20" s="24">
        <f t="shared" si="4"/>
        <v>0</v>
      </c>
      <c r="AE20" s="24">
        <f t="shared" si="4"/>
        <v>0</v>
      </c>
      <c r="AF20" s="24">
        <f t="shared" si="4"/>
        <v>0</v>
      </c>
      <c r="AG20" s="24">
        <f t="shared" si="4"/>
        <v>0</v>
      </c>
      <c r="AH20" s="24">
        <f t="shared" si="4"/>
        <v>0</v>
      </c>
      <c r="AI20" s="24">
        <f t="shared" si="4"/>
        <v>0</v>
      </c>
      <c r="AJ20" s="24">
        <f t="shared" si="4"/>
        <v>0</v>
      </c>
      <c r="AK20" s="24">
        <f t="shared" si="4"/>
        <v>0</v>
      </c>
      <c r="AL20" s="24">
        <f t="shared" si="4"/>
        <v>0</v>
      </c>
      <c r="AM20" s="24">
        <f t="shared" si="4"/>
        <v>0</v>
      </c>
      <c r="AN20" s="24">
        <f t="shared" si="4"/>
        <v>0</v>
      </c>
      <c r="AO20" s="24">
        <f t="shared" si="4"/>
        <v>0</v>
      </c>
      <c r="AP20" s="24">
        <f t="shared" si="4"/>
        <v>0</v>
      </c>
      <c r="AQ20" s="24">
        <f t="shared" si="4"/>
        <v>0</v>
      </c>
      <c r="AR20" s="24">
        <f t="shared" si="4"/>
        <v>0</v>
      </c>
      <c r="AS20" s="24">
        <f t="shared" si="4"/>
        <v>0</v>
      </c>
      <c r="AT20" s="24">
        <f t="shared" si="4"/>
        <v>0</v>
      </c>
      <c r="AU20" s="24">
        <f t="shared" si="4"/>
        <v>0</v>
      </c>
      <c r="AV20" s="24">
        <f t="shared" si="4"/>
        <v>0</v>
      </c>
      <c r="AW20" s="25">
        <f t="shared" si="4"/>
        <v>0</v>
      </c>
    </row>
    <row r="21" spans="1:49" ht="15.75" thickBot="1" x14ac:dyDescent="0.3">
      <c r="A21" s="35" t="s">
        <v>2</v>
      </c>
      <c r="B21" s="22" t="str">
        <f>IF(B20=0, CONCATENATE(B19), CONCATENATE(B19, ",",B20))</f>
        <v>0</v>
      </c>
      <c r="C21" s="22" t="str">
        <f t="shared" ref="C21:AW21" si="5">IF(C20=0, CONCATENATE(C19), CONCATENATE(C19, ",",C20))</f>
        <v>0</v>
      </c>
      <c r="D21" s="22" t="str">
        <f t="shared" si="5"/>
        <v>0</v>
      </c>
      <c r="E21" s="22" t="str">
        <f t="shared" si="5"/>
        <v>0</v>
      </c>
      <c r="F21" s="22" t="str">
        <f t="shared" si="5"/>
        <v>0</v>
      </c>
      <c r="G21" s="22" t="str">
        <f t="shared" si="5"/>
        <v>0</v>
      </c>
      <c r="H21" s="22" t="str">
        <f t="shared" si="5"/>
        <v>2</v>
      </c>
      <c r="I21" s="22" t="str">
        <f t="shared" si="5"/>
        <v>2</v>
      </c>
      <c r="J21" s="22" t="str">
        <f t="shared" si="5"/>
        <v>2</v>
      </c>
      <c r="K21" s="22" t="str">
        <f t="shared" si="5"/>
        <v>2</v>
      </c>
      <c r="L21" s="22" t="str">
        <f t="shared" si="5"/>
        <v>2</v>
      </c>
      <c r="M21" s="22" t="str">
        <f t="shared" si="5"/>
        <v>2</v>
      </c>
      <c r="N21" s="22" t="str">
        <f t="shared" si="5"/>
        <v>0</v>
      </c>
      <c r="O21" s="22" t="str">
        <f t="shared" si="5"/>
        <v>0</v>
      </c>
      <c r="P21" s="22" t="str">
        <f t="shared" si="5"/>
        <v>0</v>
      </c>
      <c r="Q21" s="22" t="str">
        <f t="shared" si="5"/>
        <v>2</v>
      </c>
      <c r="R21" s="22" t="str">
        <f t="shared" si="5"/>
        <v>2</v>
      </c>
      <c r="S21" s="22" t="str">
        <f t="shared" si="5"/>
        <v>2</v>
      </c>
      <c r="T21" s="22" t="str">
        <f t="shared" si="5"/>
        <v>2</v>
      </c>
      <c r="U21" s="22" t="str">
        <f t="shared" si="5"/>
        <v>2</v>
      </c>
      <c r="V21" s="22" t="str">
        <f t="shared" si="5"/>
        <v>2</v>
      </c>
      <c r="W21" s="22" t="str">
        <f t="shared" si="5"/>
        <v>2</v>
      </c>
      <c r="X21" s="22" t="str">
        <f t="shared" si="5"/>
        <v>2</v>
      </c>
      <c r="Y21" s="22" t="str">
        <f t="shared" si="5"/>
        <v>2</v>
      </c>
      <c r="Z21" s="22" t="str">
        <f t="shared" si="5"/>
        <v>0</v>
      </c>
      <c r="AA21" s="22" t="str">
        <f t="shared" si="5"/>
        <v>0</v>
      </c>
      <c r="AB21" s="22" t="str">
        <f t="shared" si="5"/>
        <v>2</v>
      </c>
      <c r="AC21" s="22" t="str">
        <f t="shared" si="5"/>
        <v>2</v>
      </c>
      <c r="AD21" s="22" t="str">
        <f t="shared" si="5"/>
        <v>2</v>
      </c>
      <c r="AE21" s="22" t="str">
        <f t="shared" si="5"/>
        <v>2</v>
      </c>
      <c r="AF21" s="22" t="str">
        <f t="shared" si="5"/>
        <v>2</v>
      </c>
      <c r="AG21" s="22" t="str">
        <f t="shared" si="5"/>
        <v>2</v>
      </c>
      <c r="AH21" s="22" t="str">
        <f t="shared" si="5"/>
        <v>2</v>
      </c>
      <c r="AI21" s="22" t="str">
        <f t="shared" si="5"/>
        <v>2</v>
      </c>
      <c r="AJ21" s="22" t="str">
        <f t="shared" si="5"/>
        <v>2</v>
      </c>
      <c r="AK21" s="22" t="str">
        <f t="shared" si="5"/>
        <v>0</v>
      </c>
      <c r="AL21" s="22" t="str">
        <f t="shared" si="5"/>
        <v>0</v>
      </c>
      <c r="AM21" s="22" t="str">
        <f t="shared" si="5"/>
        <v>0</v>
      </c>
      <c r="AN21" s="22" t="str">
        <f t="shared" si="5"/>
        <v>0</v>
      </c>
      <c r="AO21" s="22" t="str">
        <f t="shared" si="5"/>
        <v>2</v>
      </c>
      <c r="AP21" s="22" t="str">
        <f t="shared" si="5"/>
        <v>2</v>
      </c>
      <c r="AQ21" s="22" t="str">
        <f t="shared" si="5"/>
        <v>2</v>
      </c>
      <c r="AR21" s="22" t="str">
        <f t="shared" si="5"/>
        <v>0</v>
      </c>
      <c r="AS21" s="22" t="str">
        <f t="shared" si="5"/>
        <v>0</v>
      </c>
      <c r="AT21" s="22" t="str">
        <f t="shared" si="5"/>
        <v>0</v>
      </c>
      <c r="AU21" s="22" t="str">
        <f t="shared" si="5"/>
        <v>0</v>
      </c>
      <c r="AV21" s="22" t="str">
        <f t="shared" si="5"/>
        <v>0</v>
      </c>
      <c r="AW21" s="23" t="str">
        <f t="shared" si="5"/>
        <v>0</v>
      </c>
    </row>
    <row r="22" spans="1:49" ht="15.75" thickBot="1" x14ac:dyDescent="0.3">
      <c r="A22" s="35" t="s">
        <v>19</v>
      </c>
      <c r="B22" s="21" t="str">
        <f>IF(SUM(B10,B20) = 0, CONCATENATE(SUM(B9+B19)), CONCATENATE(SUM(B9,B19), ",", SUM(B10,B20)))</f>
        <v>6</v>
      </c>
      <c r="C22" s="21" t="str">
        <f t="shared" ref="C22:AW22" si="6">IF(SUM(C10,C20) = 0, CONCATENATE(SUM(C9+C19)), CONCATENATE(SUM(C9,C19), ",", SUM(C10,C20)))</f>
        <v>6</v>
      </c>
      <c r="D22" s="21" t="str">
        <f t="shared" si="6"/>
        <v>6</v>
      </c>
      <c r="E22" s="21" t="str">
        <f t="shared" si="6"/>
        <v>6</v>
      </c>
      <c r="F22" s="21" t="str">
        <f t="shared" si="6"/>
        <v>6</v>
      </c>
      <c r="G22" s="21" t="str">
        <f t="shared" si="6"/>
        <v>6</v>
      </c>
      <c r="H22" s="21" t="str">
        <f t="shared" si="6"/>
        <v>6</v>
      </c>
      <c r="I22" s="21" t="str">
        <f t="shared" si="6"/>
        <v>6</v>
      </c>
      <c r="J22" s="21" t="str">
        <f t="shared" si="6"/>
        <v>6</v>
      </c>
      <c r="K22" s="21" t="str">
        <f t="shared" si="6"/>
        <v>6</v>
      </c>
      <c r="L22" s="21" t="str">
        <f t="shared" si="6"/>
        <v>6</v>
      </c>
      <c r="M22" s="21" t="str">
        <f t="shared" si="6"/>
        <v>6</v>
      </c>
      <c r="N22" s="21" t="str">
        <f t="shared" si="6"/>
        <v>6</v>
      </c>
      <c r="O22" s="21" t="str">
        <f t="shared" si="6"/>
        <v>6</v>
      </c>
      <c r="P22" s="21" t="str">
        <f t="shared" si="6"/>
        <v>6</v>
      </c>
      <c r="Q22" s="21" t="str">
        <f t="shared" si="6"/>
        <v>6</v>
      </c>
      <c r="R22" s="21" t="str">
        <f t="shared" si="6"/>
        <v>6</v>
      </c>
      <c r="S22" s="21" t="str">
        <f t="shared" si="6"/>
        <v>6</v>
      </c>
      <c r="T22" s="21" t="str">
        <f t="shared" si="6"/>
        <v>6</v>
      </c>
      <c r="U22" s="21" t="str">
        <f t="shared" si="6"/>
        <v>6</v>
      </c>
      <c r="V22" s="21" t="str">
        <f t="shared" si="6"/>
        <v>6</v>
      </c>
      <c r="W22" s="21" t="str">
        <f t="shared" si="6"/>
        <v>6</v>
      </c>
      <c r="X22" s="21" t="str">
        <f t="shared" si="6"/>
        <v>6</v>
      </c>
      <c r="Y22" s="21" t="str">
        <f t="shared" si="6"/>
        <v>6</v>
      </c>
      <c r="Z22" s="21" t="str">
        <f t="shared" si="6"/>
        <v>6</v>
      </c>
      <c r="AA22" s="21" t="str">
        <f t="shared" si="6"/>
        <v>6</v>
      </c>
      <c r="AB22" s="21" t="str">
        <f t="shared" si="6"/>
        <v>6</v>
      </c>
      <c r="AC22" s="21" t="str">
        <f t="shared" si="6"/>
        <v>6</v>
      </c>
      <c r="AD22" s="21" t="str">
        <f t="shared" si="6"/>
        <v>6</v>
      </c>
      <c r="AE22" s="21" t="str">
        <f t="shared" si="6"/>
        <v>6</v>
      </c>
      <c r="AF22" s="21" t="str">
        <f t="shared" si="6"/>
        <v>6</v>
      </c>
      <c r="AG22" s="21" t="str">
        <f t="shared" si="6"/>
        <v>6</v>
      </c>
      <c r="AH22" s="21" t="str">
        <f t="shared" si="6"/>
        <v>6</v>
      </c>
      <c r="AI22" s="21" t="str">
        <f t="shared" si="6"/>
        <v>6</v>
      </c>
      <c r="AJ22" s="21" t="str">
        <f t="shared" si="6"/>
        <v>6</v>
      </c>
      <c r="AK22" s="21" t="str">
        <f t="shared" si="6"/>
        <v>6</v>
      </c>
      <c r="AL22" s="21" t="str">
        <f t="shared" si="6"/>
        <v>6</v>
      </c>
      <c r="AM22" s="21" t="str">
        <f t="shared" si="6"/>
        <v>6</v>
      </c>
      <c r="AN22" s="21" t="str">
        <f t="shared" si="6"/>
        <v>6</v>
      </c>
      <c r="AO22" s="21" t="str">
        <f t="shared" si="6"/>
        <v>6</v>
      </c>
      <c r="AP22" s="21" t="str">
        <f t="shared" si="6"/>
        <v>6</v>
      </c>
      <c r="AQ22" s="21" t="str">
        <f t="shared" si="6"/>
        <v>6</v>
      </c>
      <c r="AR22" s="21" t="str">
        <f t="shared" si="6"/>
        <v>6</v>
      </c>
      <c r="AS22" s="21" t="str">
        <f t="shared" si="6"/>
        <v>6</v>
      </c>
      <c r="AT22" s="21" t="str">
        <f t="shared" si="6"/>
        <v>6</v>
      </c>
      <c r="AU22" s="21" t="str">
        <f t="shared" si="6"/>
        <v>6</v>
      </c>
      <c r="AV22" s="21" t="str">
        <f t="shared" si="6"/>
        <v>6</v>
      </c>
      <c r="AW22" s="39" t="str">
        <f t="shared" si="6"/>
        <v>6</v>
      </c>
    </row>
    <row r="32" spans="1:49" x14ac:dyDescent="0.25">
      <c r="J32" t="s">
        <v>13</v>
      </c>
    </row>
  </sheetData>
  <mergeCells count="1">
    <mergeCell ref="A12:AW12"/>
  </mergeCells>
  <conditionalFormatting sqref="B3:AW10 B13:AW20">
    <cfRule type="cellIs" dxfId="11" priority="1" operator="equal">
      <formula>"AL1"</formula>
    </cfRule>
    <cfRule type="cellIs" dxfId="10" priority="2" operator="equal">
      <formula>"Acar1"</formula>
    </cfRule>
    <cfRule type="cellIs" dxfId="9" priority="3" operator="equal">
      <formula>"AL2"</formula>
    </cfRule>
    <cfRule type="cellIs" dxfId="8" priority="4" operator="equal">
      <formula>"Acar2"</formula>
    </cfRule>
    <cfRule type="cellIs" dxfId="7" priority="5" operator="equal">
      <formula>"AL3"</formula>
    </cfRule>
    <cfRule type="cellIs" dxfId="6" priority="6" operator="equal">
      <formula>"Acar3"</formula>
    </cfRule>
    <cfRule type="cellIs" dxfId="5" priority="7" operator="equal">
      <formula>"AL4"</formula>
    </cfRule>
    <cfRule type="cellIs" dxfId="4" priority="8" operator="equal">
      <formula>"Acar4"</formula>
    </cfRule>
    <cfRule type="cellIs" dxfId="3" priority="9" operator="equal">
      <formula>"AL5"</formula>
    </cfRule>
    <cfRule type="cellIs" dxfId="2" priority="10" operator="equal">
      <formula>"Acar5"</formula>
    </cfRule>
    <cfRule type="cellIs" dxfId="1" priority="11" operator="equal">
      <formula>"AL6"</formula>
    </cfRule>
    <cfRule type="cellIs" dxfId="0" priority="12" operator="equal">
      <formula>"Acar6"</formula>
    </cfRule>
  </conditionalFormatting>
  <pageMargins left="0.7" right="0.7" top="0.75" bottom="0.75" header="0.3" footer="0.3"/>
  <pageSetup scale="42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9D23B52E-C4A1-4CAA-84FC-AC9B69604ABC}">
          <x14:formula1>
            <xm:f>List!$F$2:$F$19</xm:f>
          </x14:formula1>
          <xm:sqref>B13:AW18 B3:AW8</xm:sqref>
        </x14:dataValidation>
      </x14:dataValidation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List</vt:lpstr>
      <vt:lpstr>Roster - 6</vt:lpstr>
      <vt:lpstr>Roster - 6 partial close 1 {3}</vt:lpstr>
      <vt:lpstr>Roster - 6 partial close 1 {2}</vt:lpstr>
      <vt:lpstr>Roster - 6 partial close 1 {1}</vt:lpstr>
      <vt:lpstr>Roster - 5 </vt:lpstr>
      <vt:lpstr>Roster - SOS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Fiona LEE (ICA)</dc:creator>
  <cp:lastModifiedBy>Fiona Lee</cp:lastModifiedBy>
  <cp:lastPrinted>2025-01-16T03:34:30Z</cp:lastPrinted>
  <dcterms:created xsi:type="dcterms:W3CDTF">2025-01-12T05:30:13Z</dcterms:created>
  <dcterms:modified xsi:type="dcterms:W3CDTF">2026-03-17T06:12:19Z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54803508-8490-4252-b331-d9b72689e942_Enabled">
    <vt:lpwstr>true</vt:lpwstr>
  </property>
  <property fmtid="{D5CDD505-2E9C-101B-9397-08002B2CF9AE}" pid="3" name="MSIP_Label_54803508-8490-4252-b331-d9b72689e942_SetDate">
    <vt:lpwstr>2025-01-12T05:41:22Z</vt:lpwstr>
  </property>
  <property fmtid="{D5CDD505-2E9C-101B-9397-08002B2CF9AE}" pid="4" name="MSIP_Label_54803508-8490-4252-b331-d9b72689e942_Method">
    <vt:lpwstr>Privileged</vt:lpwstr>
  </property>
  <property fmtid="{D5CDD505-2E9C-101B-9397-08002B2CF9AE}" pid="5" name="MSIP_Label_54803508-8490-4252-b331-d9b72689e942_Name">
    <vt:lpwstr>Non Sensitive_0</vt:lpwstr>
  </property>
  <property fmtid="{D5CDD505-2E9C-101B-9397-08002B2CF9AE}" pid="6" name="MSIP_Label_54803508-8490-4252-b331-d9b72689e942_SiteId">
    <vt:lpwstr>0b11c524-9a1c-4e1b-84cb-6336aefc2243</vt:lpwstr>
  </property>
  <property fmtid="{D5CDD505-2E9C-101B-9397-08002B2CF9AE}" pid="7" name="MSIP_Label_54803508-8490-4252-b331-d9b72689e942_ActionId">
    <vt:lpwstr>5375901a-92d7-4870-9429-d54b14f16875</vt:lpwstr>
  </property>
  <property fmtid="{D5CDD505-2E9C-101B-9397-08002B2CF9AE}" pid="8" name="MSIP_Label_54803508-8490-4252-b331-d9b72689e942_ContentBits">
    <vt:lpwstr>0</vt:lpwstr>
  </property>
</Properties>
</file>